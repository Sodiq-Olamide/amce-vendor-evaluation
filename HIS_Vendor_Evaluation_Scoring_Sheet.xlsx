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mcehq-my.sharepoint.com/personal/lakibu_amce_net/Documents/Documents/IT Projects/New EMR/"/>
    </mc:Choice>
  </mc:AlternateContent>
  <xr:revisionPtr revIDLastSave="285" documentId="11_1554E24C0295817990CABC0E640693DCC54BF454" xr6:coauthVersionLast="47" xr6:coauthVersionMax="47" xr10:uidLastSave="{632C7B61-C9F5-4004-B277-1159E2FD97F0}"/>
  <bookViews>
    <workbookView xWindow="-108" yWindow="-108" windowWidth="34776" windowHeight="21096" tabRatio="500" firstSheet="2" activeTab="9" xr2:uid="{00000000-000D-0000-FFFF-FFFF00000000}"/>
  </bookViews>
  <sheets>
    <sheet name="Instructions" sheetId="1" r:id="rId1"/>
    <sheet name="Summary Scorecard" sheetId="2" r:id="rId2"/>
    <sheet name="1 Nursing" sheetId="3" r:id="rId3"/>
    <sheet name="2 Oncology" sheetId="4" r:id="rId4"/>
    <sheet name="3 Cardiology" sheetId="5" r:id="rId5"/>
    <sheet name="4 Lab &amp; Blood Bank" sheetId="6" r:id="rId6"/>
    <sheet name="5 Radiology" sheetId="7" r:id="rId7"/>
    <sheet name="6 GenMed Surg Pharm" sheetId="8" r:id="rId8"/>
    <sheet name="7 ERP Finance" sheetId="9" r:id="rId9"/>
    <sheet name="Master Calenda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7" i="9" l="1"/>
  <c r="G13" i="2" s="1"/>
  <c r="I17" i="9"/>
  <c r="G17" i="9"/>
  <c r="E13" i="2" s="1"/>
  <c r="E16" i="2" s="1"/>
  <c r="E17" i="9"/>
  <c r="C17" i="9"/>
  <c r="B16" i="9"/>
  <c r="K18" i="8"/>
  <c r="I18" i="8"/>
  <c r="G18" i="8"/>
  <c r="E18" i="8"/>
  <c r="C18" i="8"/>
  <c r="B17" i="8"/>
  <c r="K12" i="7"/>
  <c r="I12" i="7"/>
  <c r="G12" i="7"/>
  <c r="E12" i="7"/>
  <c r="C12" i="7"/>
  <c r="B11" i="7"/>
  <c r="K17" i="6"/>
  <c r="I17" i="6"/>
  <c r="G17" i="6"/>
  <c r="E17" i="6"/>
  <c r="C17" i="6"/>
  <c r="B16" i="6"/>
  <c r="K14" i="5"/>
  <c r="I14" i="5"/>
  <c r="F9" i="2" s="1"/>
  <c r="G14" i="5"/>
  <c r="E14" i="5"/>
  <c r="C14" i="5"/>
  <c r="B13" i="5"/>
  <c r="K13" i="4"/>
  <c r="I13" i="4"/>
  <c r="G13" i="4"/>
  <c r="E13" i="4"/>
  <c r="C13" i="4"/>
  <c r="B12" i="4"/>
  <c r="K15" i="3"/>
  <c r="I15" i="3"/>
  <c r="G15" i="3"/>
  <c r="E15" i="3"/>
  <c r="C15" i="3"/>
  <c r="B14" i="3"/>
  <c r="B14" i="2"/>
  <c r="F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E9" i="2"/>
  <c r="D9" i="2"/>
  <c r="C9" i="2"/>
  <c r="G8" i="2"/>
  <c r="F8" i="2"/>
  <c r="E8" i="2"/>
  <c r="D8" i="2"/>
  <c r="C8" i="2"/>
  <c r="G7" i="2"/>
  <c r="F7" i="2"/>
  <c r="E7" i="2"/>
  <c r="D7" i="2"/>
  <c r="D16" i="2" s="1"/>
  <c r="C7" i="2"/>
  <c r="C16" i="2" s="1"/>
  <c r="G16" i="2" l="1"/>
  <c r="F16" i="2"/>
  <c r="G17" i="2"/>
  <c r="E17" i="2"/>
  <c r="D17" i="2"/>
  <c r="C17" i="2" l="1"/>
  <c r="F17" i="2"/>
</calcChain>
</file>

<file path=xl/sharedStrings.xml><?xml version="1.0" encoding="utf-8"?>
<sst xmlns="http://schemas.openxmlformats.org/spreadsheetml/2006/main" count="413" uniqueCount="140">
  <si>
    <t>HIS Vendor Evaluation - Scoring Sheet: Instructions</t>
  </si>
  <si>
    <t>For use alongside the Proposed Demonstration Calendar, 7-11 September 2026</t>
  </si>
  <si>
    <t>How this workbook is organised</t>
  </si>
  <si>
    <t>- Summary Scorecard: auto-calculated overview of every vendor's weighted score, by cohort and overall, with a ranking.</t>
  </si>
  <si>
    <t>- One tab per user-group cohort (Nursing, Oncology, Cardiology, Laboratory &amp; Blood Bank, Radiology &amp; Nuclear Medicine, General Medical/Surgical &amp; Pharmacy, ERP/RCM/Finance &amp; Procurement) containing the specific evaluation criteria drawn from that session's demonstration focus.</t>
  </si>
  <si>
    <t>- Master Calendar: read-only copy of the proposed demo schedule for reference.</t>
  </si>
  <si>
    <t>How to score</t>
  </si>
  <si>
    <t>1. Each cohort's evaluators complete that cohort's tab only, once per vendor, during or immediately after the 15-minute internal evaluation period that follows each demo.</t>
  </si>
  <si>
    <t>2. Score every criterion 1-5 using the scale below. Yellow cells are the only cells you should edit.</t>
  </si>
  <si>
    <t>3. Use the Notes/Evidence column to record what was shown, gaps, or follow-up questions - this supports the score if challenged later.</t>
  </si>
  <si>
    <t>4. Criteria are weighted equally by default (Weight % column). Adjust weights if the group agrees some criteria matter more; weights on a tab must still sum to 100%.</t>
  </si>
  <si>
    <t>5. The TOTAL WEIGHTED SCORE row and the Summary Scorecard update automatically - do not type over formula cells (white/grey, non-yellow).</t>
  </si>
  <si>
    <t>6. On the Summary Scorecard, Cohort Weight (%) can likewise be adjusted if some user groups should carry more weight in the overall vendor decision.</t>
  </si>
  <si>
    <t>Scoring scale</t>
  </si>
  <si>
    <t>5 - Excellent: Fully meets requirement; best-practice / configurable out of the box; no workarounds needed.</t>
  </si>
  <si>
    <t>4 - Good: Meets requirement with minor gaps or minor configuration needed.</t>
  </si>
  <si>
    <t>3 - Adequate: Meets requirement but with noticeable limitations, manual steps, or workarounds.</t>
  </si>
  <si>
    <t>2 - Weak: Partially meets requirement; significant gaps, customization, or third-party add-on required.</t>
  </si>
  <si>
    <t>1 - Poor/Not demonstrated: Does not meet requirement, not shown, or not available.</t>
  </si>
  <si>
    <t>Evaluation objective (per the demonstration programme)</t>
  </si>
  <si>
    <t>Consistent, comparable assessment of functionality, usability, workflow fit and integration across all five shortlisted vendors, using the same core workflows and questions for each.</t>
  </si>
  <si>
    <t>HIS Vendor Evaluation - Summary Scorecard</t>
  </si>
  <si>
    <t>African Medical Centre of Excellence (AMCE) - Comparative Vendor Demonstration Programme</t>
  </si>
  <si>
    <t>Weighted score (out of 5) per cohort, pulled automatically from each cohort tab. Adjust Cohort Weight (%) below if some user groups should count more toward the overall score; weights are equal by default.</t>
  </si>
  <si>
    <t>Cohort / User Group</t>
  </si>
  <si>
    <t>ezCareTech</t>
  </si>
  <si>
    <t>ESI</t>
  </si>
  <si>
    <t>SRIT</t>
  </si>
  <si>
    <t>MEDITECH</t>
  </si>
  <si>
    <t>KRANIUM</t>
  </si>
  <si>
    <t>Nursing Services</t>
  </si>
  <si>
    <t>Oncology</t>
  </si>
  <si>
    <t>Cardiovascular Services</t>
  </si>
  <si>
    <t>Laboratory Services and Blood Bank</t>
  </si>
  <si>
    <t>Radiology and Nuclear Medicine</t>
  </si>
  <si>
    <t>General Medical &amp; Surgical Services, and Pharmacy</t>
  </si>
  <si>
    <t>ERP/RCM/Finance &amp; Procurement</t>
  </si>
  <si>
    <t>Weight check (should equal 100%)</t>
  </si>
  <si>
    <t>OVERALL WEIGHTED SCORE (out of 5)</t>
  </si>
  <si>
    <t>RANK</t>
  </si>
  <si>
    <t>HIS Vendor Evaluation - Comparative Demonstration Programme, AMCE (7-11 September 2026)</t>
  </si>
  <si>
    <t>Session Time Slot:</t>
  </si>
  <si>
    <t>9:00 - 9:45 AM (WAT)</t>
  </si>
  <si>
    <t>Target Audience:</t>
  </si>
  <si>
    <t>Nursing leadership and representatives from relevant clinical areas</t>
  </si>
  <si>
    <t>Evaluation Criterion</t>
  </si>
  <si>
    <t>Weight (%)</t>
  </si>
  <si>
    <t>ezCareTech
Score (1-5)</t>
  </si>
  <si>
    <t>ezCareTech
Notes / Evidence</t>
  </si>
  <si>
    <t>ESI
Score (1-5)</t>
  </si>
  <si>
    <t>ESI
Notes / Evidence</t>
  </si>
  <si>
    <t>SRIT
Score (1-5)</t>
  </si>
  <si>
    <t>SRIT
Notes / Evidence</t>
  </si>
  <si>
    <t>MEDITECH
Score (1-5)</t>
  </si>
  <si>
    <t>MEDITECH
Notes / Evidence</t>
  </si>
  <si>
    <t>KRANIUM
Score (1-5)</t>
  </si>
  <si>
    <t>KRANIUM
Notes / Evidence</t>
  </si>
  <si>
    <t>Clinical documentation</t>
  </si>
  <si>
    <t>Medication administration (drugs and infusion)</t>
  </si>
  <si>
    <t>Care plans</t>
  </si>
  <si>
    <t>Orders</t>
  </si>
  <si>
    <t>Alerts/notifications</t>
  </si>
  <si>
    <t>Patient records</t>
  </si>
  <si>
    <t>Usability</t>
  </si>
  <si>
    <t>TOTAL WEIGHTED SCORE (out of 5)</t>
  </si>
  <si>
    <t>Cohort Scoring: Oncology</t>
  </si>
  <si>
    <t>10:00 - 10:45 AM (WAT)</t>
  </si>
  <si>
    <t>Oncologists, oncology nurses and relevant oncology clinical staff</t>
  </si>
  <si>
    <t>Patient journey</t>
  </si>
  <si>
    <t>Treatment planning</t>
  </si>
  <si>
    <t>Chemotherapy workflows and protocols</t>
  </si>
  <si>
    <t>Medication/order management</t>
  </si>
  <si>
    <t>Documentation and follow-up</t>
  </si>
  <si>
    <t>Cohort Scoring: Cardiovascular Services</t>
  </si>
  <si>
    <t>11:00 - 11:45 AM (WAT)</t>
  </si>
  <si>
    <t>Cardiologists, cardiac nurses and relevant cardiac clinical staff</t>
  </si>
  <si>
    <t>Investigations</t>
  </si>
  <si>
    <t>Procedures/surgeries</t>
  </si>
  <si>
    <t>Results and follow-up</t>
  </si>
  <si>
    <t>Integration with cardiac monitors</t>
  </si>
  <si>
    <t>Cohort Scoring: Laboratory Services and Blood Bank</t>
  </si>
  <si>
    <t>12:00 - 12:45 PM (WAT)</t>
  </si>
  <si>
    <t>Pathologists, laboratory scientists, laboratory management and relevant staff</t>
  </si>
  <si>
    <t>Test ordering</t>
  </si>
  <si>
    <t>Specimen collection</t>
  </si>
  <si>
    <t>Processing</t>
  </si>
  <si>
    <t>Validation</t>
  </si>
  <si>
    <t>Reporting</t>
  </si>
  <si>
    <t>LIS functionality and interoperability</t>
  </si>
  <si>
    <t>Integration with lab equipment</t>
  </si>
  <si>
    <t>B2B</t>
  </si>
  <si>
    <t>Blood Bank</t>
  </si>
  <si>
    <t>Cohort Scoring: Radiology and Nuclear Medicine</t>
  </si>
  <si>
    <t>2:00 - 2:45 PM (WAT)</t>
  </si>
  <si>
    <t>Radiologist, Nuclear Medicine Consultants, Radiographers and Technicians</t>
  </si>
  <si>
    <t>Investigation ordering</t>
  </si>
  <si>
    <t>Integration with RIS and PACS</t>
  </si>
  <si>
    <t>B2B/Referrals</t>
  </si>
  <si>
    <t>Cohort Scoring: General Medical &amp; Surgical Services, and Pharmacy</t>
  </si>
  <si>
    <t>3:00 - 3:45 PM (WAT)</t>
  </si>
  <si>
    <t>Clinicians, Surgeons, Pharmacists, and Technicians</t>
  </si>
  <si>
    <t>Orders (incl. order sets &amp; packages)</t>
  </si>
  <si>
    <t>Emergency workflow</t>
  </si>
  <si>
    <t>Prescription order, dispensing, reconciliation and reporting (incl. ADR, AMR, ABR, MDR)</t>
  </si>
  <si>
    <t>Patient Applications features and synchronization</t>
  </si>
  <si>
    <t>Physician/Nursing Mobile Applications</t>
  </si>
  <si>
    <t>AI integrations</t>
  </si>
  <si>
    <t>Cohort Scoring: ERP/RCM/Finance &amp; Procurement</t>
  </si>
  <si>
    <t>4:00 - 4:45 PM (WAT)</t>
  </si>
  <si>
    <t>Finance, Procurement, Supply Chain, Administration and relevant IT representatives</t>
  </si>
  <si>
    <t>Billing</t>
  </si>
  <si>
    <t>ERP integration</t>
  </si>
  <si>
    <t>Revenue cycle/package management</t>
  </si>
  <si>
    <t>Procurement workflow</t>
  </si>
  <si>
    <t>Inventory workflow</t>
  </si>
  <si>
    <t>Finance workflow</t>
  </si>
  <si>
    <t>Billing/revenue-cycle integration</t>
  </si>
  <si>
    <t>SAP integration</t>
  </si>
  <si>
    <t>Master Demonstration Calendar (Reference)</t>
  </si>
  <si>
    <t>Format: Microsoft Teams/Virtual | Lunch 1:00-2:00 PM WAT | 15-min internal evaluation after each session</t>
  </si>
  <si>
    <t>Day / Vendor</t>
  </si>
  <si>
    <t>Cohort</t>
  </si>
  <si>
    <t>Time Slot (WAT)</t>
  </si>
  <si>
    <t>Target Audience</t>
  </si>
  <si>
    <t>Demonstration Focus</t>
  </si>
  <si>
    <t>DAY 1 (Monday 7th September 2026) - ezCareTech</t>
  </si>
  <si>
    <t>Clinical documentation; Medication administration (drugs and infusion); Care plans; Orders; Alerts/notifications; Patient records; Usability</t>
  </si>
  <si>
    <t>Patient journey; Treatment planning; Chemotherapy workflows and protocols; Medication/order management; Documentation and follow-up</t>
  </si>
  <si>
    <t>Clinical documentation; Investigations; Orders; Procedures/surgeries; Results and follow-up; Integration with cardiac monitors</t>
  </si>
  <si>
    <t>Test ordering; Specimen collection; Processing; Validation; Reporting; LIS functionality and interoperability; Integration with lab equipment; B2B; Blood Bank</t>
  </si>
  <si>
    <t>Investigation ordering; Reporting; Integration with RIS and PACS; B2B/Referrals</t>
  </si>
  <si>
    <t>Clinical documentation; Investigations; Orders (incl. order sets &amp; packages); Procedures/surgeries; Results and follow-up; Emergency workflow; Prescription order, dispensing, reconciliation and reporting (incl. ADR, AMR, ABR, MDR); Patient Applications features and synchronization; Physician/Nursing Mobile Applications; AI integrations</t>
  </si>
  <si>
    <t>Billing; ERP integration; Revenue cycle/package management; Procurement workflow; Inventory workflow; Finance workflow; Billing/revenue-cycle integration; Reporting; SAP integration</t>
  </si>
  <si>
    <t>DAY 2 (Tuesday 8th September 2026) - ESI</t>
  </si>
  <si>
    <t>DAY 3 (Wednesday 9th September 2026) - SRIT</t>
  </si>
  <si>
    <t>DAY 4 (Thursday 10th September 2026) - MEDITECH</t>
  </si>
  <si>
    <t>DAY 5 (Friday 11th September 2026) - KRANIUM</t>
  </si>
  <si>
    <t>Group Weight (%)</t>
  </si>
  <si>
    <t>Oncology Services</t>
  </si>
  <si>
    <t>Group Scoring: Nursing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</si>
</sst>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</font>
    <font>
      <b/>
      <sz val="16"/>
      <color rgb="FFFFFFFF"/>
      <name val="Aptos SemiBold"/>
      <family val="2"/>
    </font>
    <font>
      <i/>
      <sz val="12"/>
      <color rgb="FFFFFFFF"/>
      <name val="Aptos SemiBold"/>
      <family val="2"/>
    </font>
    <font>
      <sz val="12"/>
      <color theme="1"/>
      <name val="Aptos SemiBold"/>
      <family val="2"/>
    </font>
    <font>
      <b/>
      <sz val="12"/>
      <color rgb="FF1F3864"/>
      <name val="Aptos SemiBold"/>
      <family val="2"/>
    </font>
    <font>
      <sz val="12"/>
      <name val="Aptos SemiBold"/>
      <family val="2"/>
    </font>
    <font>
      <b/>
      <sz val="16"/>
      <color rgb="FFFFFFFF"/>
      <name val="Aptos Slab SemiBold"/>
      <family val="2"/>
    </font>
    <font>
      <sz val="11"/>
      <color theme="1"/>
      <name val="Aptos Slab SemiBold"/>
      <family val="2"/>
    </font>
    <font>
      <i/>
      <sz val="12"/>
      <color rgb="FFFFFFFF"/>
      <name val="Aptos Slab SemiBold"/>
      <family val="2"/>
    </font>
    <font>
      <sz val="12"/>
      <color theme="1"/>
      <name val="Aptos Slab SemiBold"/>
      <family val="2"/>
    </font>
    <font>
      <i/>
      <sz val="12"/>
      <name val="Aptos Slab SemiBold"/>
      <family val="2"/>
    </font>
    <font>
      <b/>
      <sz val="12"/>
      <color rgb="FFFFFFFF"/>
      <name val="Aptos Slab SemiBold"/>
      <family val="2"/>
    </font>
    <font>
      <sz val="12"/>
      <name val="Aptos Slab SemiBold"/>
      <family val="2"/>
    </font>
    <font>
      <b/>
      <sz val="12"/>
      <name val="Aptos Slab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4" fillId="0" borderId="5" xfId="0" applyFont="1" applyBorder="1"/>
    <xf numFmtId="0" fontId="4" fillId="0" borderId="0" xfId="0" applyFont="1"/>
    <xf numFmtId="0" fontId="4" fillId="0" borderId="6" xfId="0" applyFont="1" applyBorder="1"/>
    <xf numFmtId="0" fontId="8" fillId="0" borderId="0" xfId="0" applyFont="1"/>
    <xf numFmtId="0" fontId="10" fillId="0" borderId="0" xfId="0" applyFont="1"/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164" fontId="10" fillId="3" borderId="1" xfId="0" applyNumberFormat="1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11" fillId="0" borderId="0" xfId="0" applyFont="1"/>
    <xf numFmtId="0" fontId="14" fillId="4" borderId="0" xfId="0" applyFont="1" applyFill="1"/>
    <xf numFmtId="0" fontId="10" fillId="4" borderId="0" xfId="0" applyFont="1" applyFill="1"/>
    <xf numFmtId="2" fontId="14" fillId="4" borderId="1" xfId="0" applyNumberFormat="1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vertical="center" wrapText="1"/>
    </xf>
    <xf numFmtId="0" fontId="10" fillId="4" borderId="1" xfId="0" applyFont="1" applyFill="1" applyBorder="1"/>
    <xf numFmtId="0" fontId="13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/>
    <xf numFmtId="164" fontId="13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13" fillId="0" borderId="1" xfId="0" applyFont="1" applyBorder="1" applyAlignment="1">
      <alignment vertical="top" wrapText="1"/>
    </xf>
    <xf numFmtId="0" fontId="8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0" xfId="0" applyFont="1"/>
    <xf numFmtId="0" fontId="4" fillId="0" borderId="6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7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1" fillId="0" borderId="0" xfId="0" applyFont="1" applyAlignment="1">
      <alignment wrapText="1"/>
    </xf>
    <xf numFmtId="0" fontId="14" fillId="0" borderId="11" xfId="0" applyFont="1" applyBorder="1"/>
    <xf numFmtId="0" fontId="14" fillId="0" borderId="12" xfId="0" applyFont="1" applyBorder="1"/>
    <xf numFmtId="0" fontId="13" fillId="0" borderId="0" xfId="0" applyFont="1"/>
    <xf numFmtId="0" fontId="13" fillId="6" borderId="13" xfId="0" applyFont="1" applyFill="1" applyBorder="1" applyAlignment="1">
      <alignment horizontal="center" vertical="top" wrapText="1"/>
    </xf>
    <xf numFmtId="0" fontId="13" fillId="6" borderId="14" xfId="0" applyFont="1" applyFill="1" applyBorder="1" applyAlignment="1">
      <alignment horizontal="center" vertical="top" wrapText="1"/>
    </xf>
    <xf numFmtId="0" fontId="13" fillId="6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showGridLines="0" zoomScaleNormal="100" workbookViewId="0">
      <selection activeCell="I10" sqref="I10"/>
    </sheetView>
  </sheetViews>
  <sheetFormatPr defaultColWidth="8.6640625" defaultRowHeight="14.4" x14ac:dyDescent="0.3"/>
  <cols>
    <col min="1" max="5" width="22" style="1" customWidth="1"/>
    <col min="6" max="6" width="12.77734375" style="1" customWidth="1"/>
    <col min="7" max="16384" width="8.6640625" style="1"/>
  </cols>
  <sheetData>
    <row r="1" spans="1:6" ht="25.5" customHeight="1" x14ac:dyDescent="0.3">
      <c r="A1" s="38" t="s">
        <v>0</v>
      </c>
      <c r="B1" s="39"/>
      <c r="C1" s="39"/>
      <c r="D1" s="39"/>
      <c r="E1" s="39"/>
      <c r="F1" s="40"/>
    </row>
    <row r="2" spans="1:6" ht="15.75" customHeight="1" x14ac:dyDescent="0.3">
      <c r="A2" s="41" t="s">
        <v>1</v>
      </c>
      <c r="B2" s="42"/>
      <c r="C2" s="42"/>
      <c r="D2" s="42"/>
      <c r="E2" s="42"/>
      <c r="F2" s="43"/>
    </row>
    <row r="3" spans="1:6" ht="15.6" x14ac:dyDescent="0.3">
      <c r="A3" s="2"/>
      <c r="B3" s="3"/>
      <c r="C3" s="3"/>
      <c r="D3" s="3"/>
      <c r="E3" s="3"/>
      <c r="F3" s="4"/>
    </row>
    <row r="4" spans="1:6" ht="15.6" x14ac:dyDescent="0.3">
      <c r="A4" s="44"/>
      <c r="B4" s="45"/>
      <c r="C4" s="45"/>
      <c r="D4" s="45"/>
      <c r="E4" s="45"/>
      <c r="F4" s="46"/>
    </row>
    <row r="5" spans="1:6" ht="19.2" customHeight="1" x14ac:dyDescent="0.3">
      <c r="A5" s="47" t="s">
        <v>2</v>
      </c>
      <c r="B5" s="48"/>
      <c r="C5" s="48"/>
      <c r="D5" s="48"/>
      <c r="E5" s="48"/>
      <c r="F5" s="49"/>
    </row>
    <row r="6" spans="1:6" ht="21.6" customHeight="1" x14ac:dyDescent="0.3">
      <c r="A6" s="50" t="s">
        <v>3</v>
      </c>
      <c r="B6" s="51"/>
      <c r="C6" s="51"/>
      <c r="D6" s="51"/>
      <c r="E6" s="51"/>
      <c r="F6" s="52"/>
    </row>
    <row r="7" spans="1:6" ht="36" customHeight="1" x14ac:dyDescent="0.3">
      <c r="A7" s="50" t="s">
        <v>4</v>
      </c>
      <c r="B7" s="51"/>
      <c r="C7" s="51"/>
      <c r="D7" s="51"/>
      <c r="E7" s="51"/>
      <c r="F7" s="52"/>
    </row>
    <row r="8" spans="1:6" ht="27.75" customHeight="1" x14ac:dyDescent="0.3">
      <c r="A8" s="50" t="s">
        <v>5</v>
      </c>
      <c r="B8" s="51"/>
      <c r="C8" s="51"/>
      <c r="D8" s="51"/>
      <c r="E8" s="51"/>
      <c r="F8" s="52"/>
    </row>
    <row r="9" spans="1:6" ht="15.6" x14ac:dyDescent="0.3">
      <c r="A9" s="44"/>
      <c r="B9" s="45"/>
      <c r="C9" s="45"/>
      <c r="D9" s="45"/>
      <c r="E9" s="45"/>
      <c r="F9" s="46"/>
    </row>
    <row r="10" spans="1:6" ht="25.2" customHeight="1" x14ac:dyDescent="0.3">
      <c r="A10" s="47" t="s">
        <v>6</v>
      </c>
      <c r="B10" s="48"/>
      <c r="C10" s="48"/>
      <c r="D10" s="48"/>
      <c r="E10" s="48"/>
      <c r="F10" s="49"/>
    </row>
    <row r="11" spans="1:6" ht="35.4" customHeight="1" x14ac:dyDescent="0.3">
      <c r="A11" s="50" t="s">
        <v>7</v>
      </c>
      <c r="B11" s="51"/>
      <c r="C11" s="51"/>
      <c r="D11" s="51"/>
      <c r="E11" s="51"/>
      <c r="F11" s="52"/>
    </row>
    <row r="12" spans="1:6" ht="24" customHeight="1" x14ac:dyDescent="0.3">
      <c r="A12" s="50" t="s">
        <v>8</v>
      </c>
      <c r="B12" s="51"/>
      <c r="C12" s="51"/>
      <c r="D12" s="51"/>
      <c r="E12" s="51"/>
      <c r="F12" s="52"/>
    </row>
    <row r="13" spans="1:6" ht="33" customHeight="1" x14ac:dyDescent="0.3">
      <c r="A13" s="50" t="s">
        <v>9</v>
      </c>
      <c r="B13" s="51"/>
      <c r="C13" s="51"/>
      <c r="D13" s="51"/>
      <c r="E13" s="51"/>
      <c r="F13" s="52"/>
    </row>
    <row r="14" spans="1:6" ht="37.200000000000003" customHeight="1" x14ac:dyDescent="0.3">
      <c r="A14" s="50" t="s">
        <v>10</v>
      </c>
      <c r="B14" s="51"/>
      <c r="C14" s="51"/>
      <c r="D14" s="51"/>
      <c r="E14" s="51"/>
      <c r="F14" s="52"/>
    </row>
    <row r="15" spans="1:6" ht="36.6" customHeight="1" x14ac:dyDescent="0.3">
      <c r="A15" s="50" t="s">
        <v>11</v>
      </c>
      <c r="B15" s="51"/>
      <c r="C15" s="51"/>
      <c r="D15" s="51"/>
      <c r="E15" s="51"/>
      <c r="F15" s="52"/>
    </row>
    <row r="16" spans="1:6" ht="33.6" customHeight="1" x14ac:dyDescent="0.3">
      <c r="A16" s="50" t="s">
        <v>12</v>
      </c>
      <c r="B16" s="51"/>
      <c r="C16" s="51"/>
      <c r="D16" s="51"/>
      <c r="E16" s="51"/>
      <c r="F16" s="52"/>
    </row>
    <row r="17" spans="1:6" ht="15.6" x14ac:dyDescent="0.3">
      <c r="A17" s="44"/>
      <c r="B17" s="45"/>
      <c r="C17" s="45"/>
      <c r="D17" s="45"/>
      <c r="E17" s="45"/>
      <c r="F17" s="46"/>
    </row>
    <row r="18" spans="1:6" ht="15.6" x14ac:dyDescent="0.3">
      <c r="A18" s="47" t="s">
        <v>13</v>
      </c>
      <c r="B18" s="48"/>
      <c r="C18" s="48"/>
      <c r="D18" s="48"/>
      <c r="E18" s="48"/>
      <c r="F18" s="49"/>
    </row>
    <row r="19" spans="1:6" ht="27.75" customHeight="1" x14ac:dyDescent="0.3">
      <c r="A19" s="50" t="s">
        <v>14</v>
      </c>
      <c r="B19" s="51"/>
      <c r="C19" s="51"/>
      <c r="D19" s="51"/>
      <c r="E19" s="51"/>
      <c r="F19" s="52"/>
    </row>
    <row r="20" spans="1:6" ht="27.75" customHeight="1" x14ac:dyDescent="0.3">
      <c r="A20" s="50" t="s">
        <v>15</v>
      </c>
      <c r="B20" s="51"/>
      <c r="C20" s="51"/>
      <c r="D20" s="51"/>
      <c r="E20" s="51"/>
      <c r="F20" s="52"/>
    </row>
    <row r="21" spans="1:6" ht="27.75" customHeight="1" x14ac:dyDescent="0.3">
      <c r="A21" s="50" t="s">
        <v>16</v>
      </c>
      <c r="B21" s="51"/>
      <c r="C21" s="51"/>
      <c r="D21" s="51"/>
      <c r="E21" s="51"/>
      <c r="F21" s="52"/>
    </row>
    <row r="22" spans="1:6" ht="27.75" customHeight="1" x14ac:dyDescent="0.3">
      <c r="A22" s="50" t="s">
        <v>17</v>
      </c>
      <c r="B22" s="51"/>
      <c r="C22" s="51"/>
      <c r="D22" s="51"/>
      <c r="E22" s="51"/>
      <c r="F22" s="52"/>
    </row>
    <row r="23" spans="1:6" ht="27.75" customHeight="1" x14ac:dyDescent="0.3">
      <c r="A23" s="50" t="s">
        <v>18</v>
      </c>
      <c r="B23" s="51"/>
      <c r="C23" s="51"/>
      <c r="D23" s="51"/>
      <c r="E23" s="51"/>
      <c r="F23" s="52"/>
    </row>
    <row r="24" spans="1:6" ht="15.6" x14ac:dyDescent="0.3">
      <c r="A24" s="44"/>
      <c r="B24" s="45"/>
      <c r="C24" s="45"/>
      <c r="D24" s="45"/>
      <c r="E24" s="45"/>
      <c r="F24" s="46"/>
    </row>
    <row r="25" spans="1:6" ht="15.6" x14ac:dyDescent="0.3">
      <c r="A25" s="47" t="s">
        <v>19</v>
      </c>
      <c r="B25" s="48"/>
      <c r="C25" s="48"/>
      <c r="D25" s="48"/>
      <c r="E25" s="48"/>
      <c r="F25" s="49"/>
    </row>
    <row r="26" spans="1:6" ht="33" customHeight="1" thickBot="1" x14ac:dyDescent="0.35">
      <c r="A26" s="53" t="s">
        <v>20</v>
      </c>
      <c r="B26" s="54"/>
      <c r="C26" s="54"/>
      <c r="D26" s="54"/>
      <c r="E26" s="54"/>
      <c r="F26" s="55"/>
    </row>
  </sheetData>
  <mergeCells count="25">
    <mergeCell ref="A22:F22"/>
    <mergeCell ref="A23:F23"/>
    <mergeCell ref="A24:F24"/>
    <mergeCell ref="A25:F25"/>
    <mergeCell ref="A26:F26"/>
    <mergeCell ref="A17:F17"/>
    <mergeCell ref="A18:F18"/>
    <mergeCell ref="A19:F19"/>
    <mergeCell ref="A20:F20"/>
    <mergeCell ref="A21:F21"/>
    <mergeCell ref="A12:F12"/>
    <mergeCell ref="A13:F13"/>
    <mergeCell ref="A14:F14"/>
    <mergeCell ref="A15:F15"/>
    <mergeCell ref="A16:F16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8.6640625" defaultRowHeight="14.4" x14ac:dyDescent="0.3"/>
  <cols>
    <col min="1" max="1" width="53.21875" style="5" bestFit="1" customWidth="1"/>
    <col min="2" max="2" width="19.77734375" style="5" bestFit="1" customWidth="1"/>
    <col min="3" max="7" width="15" style="5" customWidth="1"/>
    <col min="8" max="16384" width="8.6640625" style="5"/>
  </cols>
  <sheetData>
    <row r="1" spans="1:7" ht="25.5" customHeight="1" x14ac:dyDescent="0.3">
      <c r="A1" s="56" t="s">
        <v>21</v>
      </c>
      <c r="B1" s="56"/>
      <c r="C1" s="56"/>
      <c r="D1" s="56"/>
      <c r="E1" s="56"/>
      <c r="F1" s="56"/>
      <c r="G1" s="56"/>
    </row>
    <row r="2" spans="1:7" ht="15.75" customHeight="1" x14ac:dyDescent="0.3">
      <c r="A2" s="57" t="s">
        <v>22</v>
      </c>
      <c r="B2" s="57"/>
      <c r="C2" s="57"/>
      <c r="D2" s="57"/>
      <c r="E2" s="57"/>
      <c r="F2" s="57"/>
      <c r="G2" s="57"/>
    </row>
    <row r="3" spans="1:7" ht="15.6" x14ac:dyDescent="0.3">
      <c r="A3" s="6"/>
      <c r="B3" s="6"/>
      <c r="C3" s="6"/>
      <c r="D3" s="6"/>
      <c r="E3" s="6"/>
      <c r="F3" s="6"/>
      <c r="G3" s="6"/>
    </row>
    <row r="4" spans="1:7" ht="27.75" customHeight="1" x14ac:dyDescent="0.3">
      <c r="A4" s="58" t="s">
        <v>23</v>
      </c>
      <c r="B4" s="58"/>
      <c r="C4" s="58"/>
      <c r="D4" s="58"/>
      <c r="E4" s="58"/>
      <c r="F4" s="58"/>
      <c r="G4" s="58"/>
    </row>
    <row r="5" spans="1:7" ht="15.6" x14ac:dyDescent="0.3">
      <c r="A5" s="6"/>
      <c r="B5" s="6"/>
      <c r="C5" s="6"/>
      <c r="D5" s="6"/>
      <c r="E5" s="6"/>
      <c r="F5" s="6"/>
      <c r="G5" s="6"/>
    </row>
    <row r="6" spans="1:7" ht="21.75" customHeight="1" x14ac:dyDescent="0.3">
      <c r="A6" s="7" t="s">
        <v>24</v>
      </c>
      <c r="B6" s="8" t="s">
        <v>137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</row>
    <row r="7" spans="1:7" ht="15.6" x14ac:dyDescent="0.3">
      <c r="A7" s="9" t="s">
        <v>30</v>
      </c>
      <c r="B7" s="10">
        <v>15</v>
      </c>
      <c r="C7" s="11">
        <f>'1 Nursing'!C15</f>
        <v>0</v>
      </c>
      <c r="D7" s="11">
        <f>'1 Nursing'!E15</f>
        <v>0</v>
      </c>
      <c r="E7" s="11">
        <f>'1 Nursing'!G15</f>
        <v>0</v>
      </c>
      <c r="F7" s="11">
        <f>'1 Nursing'!I15</f>
        <v>0</v>
      </c>
      <c r="G7" s="11">
        <f>'1 Nursing'!K15</f>
        <v>0</v>
      </c>
    </row>
    <row r="8" spans="1:7" ht="15.6" x14ac:dyDescent="0.3">
      <c r="A8" s="9" t="s">
        <v>138</v>
      </c>
      <c r="B8" s="10">
        <v>15</v>
      </c>
      <c r="C8" s="11">
        <f>'2 Oncology'!C13</f>
        <v>0</v>
      </c>
      <c r="D8" s="11">
        <f>'2 Oncology'!E13</f>
        <v>0</v>
      </c>
      <c r="E8" s="11">
        <f>'2 Oncology'!G13</f>
        <v>0</v>
      </c>
      <c r="F8" s="11">
        <f>'2 Oncology'!I13</f>
        <v>0</v>
      </c>
      <c r="G8" s="11">
        <f>'2 Oncology'!K13</f>
        <v>0</v>
      </c>
    </row>
    <row r="9" spans="1:7" ht="15.6" x14ac:dyDescent="0.3">
      <c r="A9" s="9" t="s">
        <v>32</v>
      </c>
      <c r="B9" s="10">
        <v>15</v>
      </c>
      <c r="C9" s="11">
        <f>'3 Cardiology'!C14</f>
        <v>0</v>
      </c>
      <c r="D9" s="11">
        <f>'3 Cardiology'!E14</f>
        <v>0</v>
      </c>
      <c r="E9" s="11">
        <f>'3 Cardiology'!G14</f>
        <v>0</v>
      </c>
      <c r="F9" s="11">
        <f>'3 Cardiology'!I14</f>
        <v>0</v>
      </c>
      <c r="G9" s="11">
        <f>'3 Cardiology'!K14</f>
        <v>0</v>
      </c>
    </row>
    <row r="10" spans="1:7" ht="15.6" x14ac:dyDescent="0.3">
      <c r="A10" s="9" t="s">
        <v>33</v>
      </c>
      <c r="B10" s="10">
        <v>15</v>
      </c>
      <c r="C10" s="11">
        <f>'4 Lab &amp; Blood Bank'!C17</f>
        <v>0</v>
      </c>
      <c r="D10" s="11">
        <f>'4 Lab &amp; Blood Bank'!E17</f>
        <v>0</v>
      </c>
      <c r="E10" s="11">
        <f>'4 Lab &amp; Blood Bank'!G17</f>
        <v>0</v>
      </c>
      <c r="F10" s="11">
        <f>'4 Lab &amp; Blood Bank'!I17</f>
        <v>0</v>
      </c>
      <c r="G10" s="11">
        <f>'4 Lab &amp; Blood Bank'!K17</f>
        <v>0</v>
      </c>
    </row>
    <row r="11" spans="1:7" ht="15.6" x14ac:dyDescent="0.3">
      <c r="A11" s="9" t="s">
        <v>34</v>
      </c>
      <c r="B11" s="10">
        <v>12</v>
      </c>
      <c r="C11" s="11">
        <f>'5 Radiology'!C12</f>
        <v>0</v>
      </c>
      <c r="D11" s="11">
        <f>'5 Radiology'!E12</f>
        <v>0</v>
      </c>
      <c r="E11" s="11">
        <f>'5 Radiology'!G12</f>
        <v>0</v>
      </c>
      <c r="F11" s="11">
        <f>'5 Radiology'!I12</f>
        <v>0</v>
      </c>
      <c r="G11" s="11">
        <f>'5 Radiology'!K12</f>
        <v>0</v>
      </c>
    </row>
    <row r="12" spans="1:7" ht="15.6" x14ac:dyDescent="0.3">
      <c r="A12" s="9" t="s">
        <v>35</v>
      </c>
      <c r="B12" s="10">
        <v>15</v>
      </c>
      <c r="C12" s="11">
        <f>'6 GenMed Surg Pharm'!C18</f>
        <v>0</v>
      </c>
      <c r="D12" s="11">
        <f>'6 GenMed Surg Pharm'!E18</f>
        <v>0</v>
      </c>
      <c r="E12" s="11">
        <f>'6 GenMed Surg Pharm'!G18</f>
        <v>0</v>
      </c>
      <c r="F12" s="11">
        <f>'6 GenMed Surg Pharm'!I18</f>
        <v>0</v>
      </c>
      <c r="G12" s="11">
        <f>'6 GenMed Surg Pharm'!K18</f>
        <v>0</v>
      </c>
    </row>
    <row r="13" spans="1:7" ht="15.6" x14ac:dyDescent="0.3">
      <c r="A13" s="9" t="s">
        <v>36</v>
      </c>
      <c r="B13" s="10">
        <v>13</v>
      </c>
      <c r="C13" s="11">
        <f>'7 ERP Finance'!C17</f>
        <v>0</v>
      </c>
      <c r="D13" s="11">
        <f>'7 ERP Finance'!E17</f>
        <v>0</v>
      </c>
      <c r="E13" s="11">
        <f>'7 ERP Finance'!G17</f>
        <v>0</v>
      </c>
      <c r="F13" s="11">
        <f>'7 ERP Finance'!I17</f>
        <v>0</v>
      </c>
      <c r="G13" s="11">
        <f>'7 ERP Finance'!K17</f>
        <v>0</v>
      </c>
    </row>
    <row r="14" spans="1:7" ht="15.6" x14ac:dyDescent="0.3">
      <c r="A14" s="12" t="s">
        <v>37</v>
      </c>
      <c r="B14" s="18">
        <f>SUM(B7:B13)</f>
        <v>100</v>
      </c>
      <c r="C14" s="6"/>
      <c r="D14" s="6"/>
      <c r="E14" s="6"/>
      <c r="F14" s="6"/>
      <c r="G14" s="6"/>
    </row>
    <row r="15" spans="1:7" ht="15.6" x14ac:dyDescent="0.3">
      <c r="A15" s="6"/>
      <c r="B15" s="6"/>
      <c r="C15" s="6"/>
      <c r="D15" s="6"/>
      <c r="E15" s="6"/>
      <c r="F15" s="6"/>
      <c r="G15" s="6"/>
    </row>
    <row r="16" spans="1:7" ht="15.6" x14ac:dyDescent="0.3">
      <c r="A16" s="13" t="s">
        <v>38</v>
      </c>
      <c r="B16" s="14"/>
      <c r="C16" s="15">
        <f>SUMPRODUCT(C7:C13,$B$7:$B$13)/100</f>
        <v>0</v>
      </c>
      <c r="D16" s="15">
        <f>SUMPRODUCT(D7:D13,$B$7:$B$13)/100</f>
        <v>0</v>
      </c>
      <c r="E16" s="15">
        <f>SUMPRODUCT(E7:E13,$B$7:$B$13)/100</f>
        <v>0</v>
      </c>
      <c r="F16" s="15">
        <f>SUMPRODUCT(F7:F13,$B$7:$B$13)/100</f>
        <v>0</v>
      </c>
      <c r="G16" s="15">
        <f>SUMPRODUCT(G7:G13,$B$7:$B$13)/100</f>
        <v>0</v>
      </c>
    </row>
    <row r="17" spans="1:7" ht="15.6" x14ac:dyDescent="0.3">
      <c r="A17" s="59" t="s">
        <v>39</v>
      </c>
      <c r="B17" s="60"/>
      <c r="C17" s="16">
        <f>RANK(C16,$C16:$G16)</f>
        <v>1</v>
      </c>
      <c r="D17" s="17">
        <f>RANK(D16,$C16:$G16)</f>
        <v>1</v>
      </c>
      <c r="E17" s="17">
        <f>RANK(E16,$C16:$G16)</f>
        <v>1</v>
      </c>
      <c r="F17" s="17">
        <f>RANK(F16,$C16:$G16)</f>
        <v>1</v>
      </c>
      <c r="G17" s="17">
        <f>RANK(G16,$C16:$G16)</f>
        <v>1</v>
      </c>
    </row>
  </sheetData>
  <mergeCells count="4">
    <mergeCell ref="A1:G1"/>
    <mergeCell ref="A2:G2"/>
    <mergeCell ref="A4:G4"/>
    <mergeCell ref="A17:B17"/>
  </mergeCell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D31" sqref="D31"/>
    </sheetView>
  </sheetViews>
  <sheetFormatPr defaultColWidth="8.6640625" defaultRowHeight="14.4" x14ac:dyDescent="0.3"/>
  <cols>
    <col min="1" max="1" width="49.5546875" bestFit="1" customWidth="1"/>
    <col min="2" max="3" width="13" customWidth="1"/>
    <col min="4" max="4" width="28" customWidth="1"/>
    <col min="5" max="5" width="18" bestFit="1" customWidth="1"/>
    <col min="6" max="6" width="28" customWidth="1"/>
    <col min="7" max="7" width="19" bestFit="1" customWidth="1"/>
    <col min="8" max="8" width="28" customWidth="1"/>
    <col min="9" max="9" width="14" customWidth="1"/>
    <col min="10" max="10" width="28" customWidth="1"/>
    <col min="11" max="11" width="12" customWidth="1"/>
    <col min="12" max="12" width="28" customWidth="1"/>
  </cols>
  <sheetData>
    <row r="1" spans="1:12" ht="25.5" customHeight="1" x14ac:dyDescent="0.3">
      <c r="A1" s="56" t="s">
        <v>139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42</v>
      </c>
      <c r="C4" s="61"/>
      <c r="D4" s="61"/>
      <c r="E4" s="28" t="s">
        <v>43</v>
      </c>
      <c r="F4" s="61" t="s">
        <v>44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57</v>
      </c>
      <c r="B7" s="29">
        <v>15</v>
      </c>
      <c r="C7" s="30"/>
      <c r="D7" s="21"/>
      <c r="E7" s="30"/>
      <c r="F7" s="21"/>
      <c r="G7" s="30"/>
      <c r="H7" s="21"/>
      <c r="I7" s="30"/>
      <c r="J7" s="21"/>
      <c r="K7" s="30"/>
      <c r="L7" s="21"/>
    </row>
    <row r="8" spans="1:12" ht="27.75" customHeight="1" x14ac:dyDescent="0.3">
      <c r="A8" s="19" t="s">
        <v>58</v>
      </c>
      <c r="B8" s="29">
        <v>15</v>
      </c>
      <c r="C8" s="30"/>
      <c r="D8" s="21"/>
      <c r="E8" s="30"/>
      <c r="F8" s="21"/>
      <c r="G8" s="30"/>
      <c r="H8" s="21"/>
      <c r="I8" s="30"/>
      <c r="J8" s="21"/>
      <c r="K8" s="30"/>
      <c r="L8" s="21"/>
    </row>
    <row r="9" spans="1:12" ht="27.75" customHeight="1" x14ac:dyDescent="0.3">
      <c r="A9" s="19" t="s">
        <v>59</v>
      </c>
      <c r="B9" s="29">
        <v>14</v>
      </c>
      <c r="C9" s="30"/>
      <c r="D9" s="21"/>
      <c r="E9" s="30"/>
      <c r="F9" s="21"/>
      <c r="G9" s="30"/>
      <c r="H9" s="21"/>
      <c r="I9" s="30"/>
      <c r="J9" s="21"/>
      <c r="K9" s="30"/>
      <c r="L9" s="21"/>
    </row>
    <row r="10" spans="1:12" ht="27.75" customHeight="1" x14ac:dyDescent="0.3">
      <c r="A10" s="19" t="s">
        <v>60</v>
      </c>
      <c r="B10" s="29">
        <v>14</v>
      </c>
      <c r="C10" s="30"/>
      <c r="D10" s="21"/>
      <c r="E10" s="30"/>
      <c r="F10" s="21"/>
      <c r="G10" s="30"/>
      <c r="H10" s="21"/>
      <c r="I10" s="30"/>
      <c r="J10" s="21"/>
      <c r="K10" s="30"/>
      <c r="L10" s="21"/>
    </row>
    <row r="11" spans="1:12" ht="27.75" customHeight="1" x14ac:dyDescent="0.3">
      <c r="A11" s="19" t="s">
        <v>61</v>
      </c>
      <c r="B11" s="29">
        <v>14</v>
      </c>
      <c r="C11" s="30"/>
      <c r="D11" s="21"/>
      <c r="E11" s="30"/>
      <c r="F11" s="21"/>
      <c r="G11" s="30"/>
      <c r="H11" s="21"/>
      <c r="I11" s="30"/>
      <c r="J11" s="21"/>
      <c r="K11" s="30"/>
      <c r="L11" s="21"/>
    </row>
    <row r="12" spans="1:12" ht="27.75" customHeight="1" x14ac:dyDescent="0.3">
      <c r="A12" s="19" t="s">
        <v>62</v>
      </c>
      <c r="B12" s="29">
        <v>14</v>
      </c>
      <c r="C12" s="30"/>
      <c r="D12" s="21"/>
      <c r="E12" s="30"/>
      <c r="F12" s="21"/>
      <c r="G12" s="30"/>
      <c r="H12" s="21"/>
      <c r="I12" s="30"/>
      <c r="J12" s="21"/>
      <c r="K12" s="30"/>
      <c r="L12" s="21"/>
    </row>
    <row r="13" spans="1:12" ht="27.75" customHeight="1" x14ac:dyDescent="0.3">
      <c r="A13" s="19" t="s">
        <v>63</v>
      </c>
      <c r="B13" s="29">
        <v>14</v>
      </c>
      <c r="C13" s="30"/>
      <c r="D13" s="21"/>
      <c r="E13" s="30"/>
      <c r="F13" s="21"/>
      <c r="G13" s="30"/>
      <c r="H13" s="21"/>
      <c r="I13" s="30"/>
      <c r="J13" s="21"/>
      <c r="K13" s="30"/>
      <c r="L13" s="21"/>
    </row>
    <row r="14" spans="1:12" s="27" customFormat="1" ht="19.8" customHeight="1" x14ac:dyDescent="0.3">
      <c r="A14" s="24" t="s">
        <v>37</v>
      </c>
      <c r="B14" s="25">
        <f>SUM(B7:B13)</f>
        <v>100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ht="15.6" x14ac:dyDescent="0.3">
      <c r="A15" s="13" t="s">
        <v>64</v>
      </c>
      <c r="B15" s="14"/>
      <c r="C15" s="15">
        <f>SUMPRODUCT(C7:C13,$B$7:$B$13)/100</f>
        <v>0</v>
      </c>
      <c r="D15" s="22"/>
      <c r="E15" s="15">
        <f>SUMPRODUCT(E7:E13,$B$7:$B$13)/100</f>
        <v>0</v>
      </c>
      <c r="F15" s="22"/>
      <c r="G15" s="15">
        <f>SUMPRODUCT(G7:G13,$B$7:$B$13)/100</f>
        <v>0</v>
      </c>
      <c r="H15" s="22"/>
      <c r="I15" s="15">
        <f>SUMPRODUCT(I7:I13,$B$7:$B$13)/100</f>
        <v>0</v>
      </c>
      <c r="J15" s="22"/>
      <c r="K15" s="15">
        <f>SUMPRODUCT(K7:K13,$B$7:$B$13)/100</f>
        <v>0</v>
      </c>
      <c r="L15" s="22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3 E7:E13 G7:G13 I7:I13 K7:K13" xr:uid="{00000000-0002-0000-02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E22" sqref="E22"/>
    </sheetView>
  </sheetViews>
  <sheetFormatPr defaultColWidth="8.6640625" defaultRowHeight="14.4" x14ac:dyDescent="0.3"/>
  <cols>
    <col min="1" max="1" width="42" style="5" customWidth="1"/>
    <col min="2" max="2" width="12.109375" style="5" bestFit="1" customWidth="1"/>
    <col min="3" max="3" width="13.44140625" style="5" customWidth="1"/>
    <col min="4" max="4" width="28" style="5" customWidth="1"/>
    <col min="5" max="5" width="18" style="5" bestFit="1" customWidth="1"/>
    <col min="6" max="6" width="28" style="5" customWidth="1"/>
    <col min="7" max="7" width="12" style="5" customWidth="1"/>
    <col min="8" max="8" width="28" style="5" customWidth="1"/>
    <col min="9" max="9" width="13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66</v>
      </c>
      <c r="C4" s="61"/>
      <c r="D4" s="61"/>
      <c r="E4" s="28" t="s">
        <v>43</v>
      </c>
      <c r="F4" s="61" t="s">
        <v>67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68</v>
      </c>
      <c r="B7" s="29">
        <v>20</v>
      </c>
      <c r="C7" s="20"/>
      <c r="D7" s="21"/>
      <c r="E7" s="20"/>
      <c r="F7" s="21"/>
      <c r="G7" s="20"/>
      <c r="H7" s="21"/>
      <c r="I7" s="20"/>
      <c r="J7" s="21"/>
      <c r="K7" s="20"/>
      <c r="L7" s="21"/>
    </row>
    <row r="8" spans="1:12" ht="27.75" customHeight="1" x14ac:dyDescent="0.3">
      <c r="A8" s="19" t="s">
        <v>69</v>
      </c>
      <c r="B8" s="29">
        <v>20</v>
      </c>
      <c r="C8" s="20"/>
      <c r="D8" s="21"/>
      <c r="E8" s="20"/>
      <c r="F8" s="21"/>
      <c r="G8" s="20"/>
      <c r="H8" s="21"/>
      <c r="I8" s="20"/>
      <c r="J8" s="21"/>
      <c r="K8" s="20"/>
      <c r="L8" s="21"/>
    </row>
    <row r="9" spans="1:12" ht="27.75" customHeight="1" x14ac:dyDescent="0.3">
      <c r="A9" s="19" t="s">
        <v>70</v>
      </c>
      <c r="B9" s="29">
        <v>20</v>
      </c>
      <c r="C9" s="20"/>
      <c r="D9" s="21"/>
      <c r="E9" s="20"/>
      <c r="F9" s="21"/>
      <c r="G9" s="20"/>
      <c r="H9" s="21"/>
      <c r="I9" s="20"/>
      <c r="J9" s="21"/>
      <c r="K9" s="20"/>
      <c r="L9" s="21"/>
    </row>
    <row r="10" spans="1:12" ht="27.75" customHeight="1" x14ac:dyDescent="0.3">
      <c r="A10" s="19" t="s">
        <v>71</v>
      </c>
      <c r="B10" s="29">
        <v>20</v>
      </c>
      <c r="C10" s="20"/>
      <c r="D10" s="21"/>
      <c r="E10" s="20"/>
      <c r="F10" s="21"/>
      <c r="G10" s="20"/>
      <c r="H10" s="21"/>
      <c r="I10" s="20"/>
      <c r="J10" s="21"/>
      <c r="K10" s="20"/>
      <c r="L10" s="21"/>
    </row>
    <row r="11" spans="1:12" ht="27.75" customHeight="1" x14ac:dyDescent="0.3">
      <c r="A11" s="19" t="s">
        <v>72</v>
      </c>
      <c r="B11" s="29">
        <v>20</v>
      </c>
      <c r="C11" s="20"/>
      <c r="D11" s="21"/>
      <c r="E11" s="20"/>
      <c r="F11" s="21"/>
      <c r="G11" s="20"/>
      <c r="H11" s="21"/>
      <c r="I11" s="20"/>
      <c r="J11" s="21"/>
      <c r="K11" s="20"/>
      <c r="L11" s="21"/>
    </row>
    <row r="12" spans="1:12" ht="19.2" customHeight="1" x14ac:dyDescent="0.3">
      <c r="A12" s="24" t="s">
        <v>37</v>
      </c>
      <c r="B12" s="18">
        <f>SUM(B7:B11)</f>
        <v>100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8" customHeight="1" x14ac:dyDescent="0.3">
      <c r="A13" s="13" t="s">
        <v>64</v>
      </c>
      <c r="B13" s="14"/>
      <c r="C13" s="15">
        <f>SUMPRODUCT(C7:C11,$B$7:$B$11)/100</f>
        <v>0</v>
      </c>
      <c r="D13" s="22"/>
      <c r="E13" s="15">
        <f>SUMPRODUCT(E7:E11,$B$7:$B$11)/100</f>
        <v>0</v>
      </c>
      <c r="F13" s="22"/>
      <c r="G13" s="15">
        <f>SUMPRODUCT(G7:G11,$B$7:$B$11)/100</f>
        <v>0</v>
      </c>
      <c r="H13" s="22"/>
      <c r="I13" s="15">
        <f>SUMPRODUCT(I7:I11,$B$7:$B$11)/100</f>
        <v>0</v>
      </c>
      <c r="J13" s="22"/>
      <c r="K13" s="15">
        <f>SUMPRODUCT(K7:K11,$B$7:$B$11)/100</f>
        <v>0</v>
      </c>
      <c r="L13" s="22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1 E7:E11 G7:G11 I7:I11 K7:K11" xr:uid="{00000000-0002-0000-03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21" sqref="B21"/>
    </sheetView>
  </sheetViews>
  <sheetFormatPr defaultColWidth="8.6640625" defaultRowHeight="14.4" x14ac:dyDescent="0.3"/>
  <cols>
    <col min="1" max="1" width="42" style="5" customWidth="1"/>
    <col min="2" max="2" width="12.109375" style="5" bestFit="1" customWidth="1"/>
    <col min="3" max="3" width="12.88671875" style="5" customWidth="1"/>
    <col min="4" max="4" width="28" style="5" customWidth="1"/>
    <col min="5" max="5" width="18" style="5" bestFit="1" customWidth="1"/>
    <col min="6" max="6" width="28" style="5" customWidth="1"/>
    <col min="7" max="7" width="12" style="5" customWidth="1"/>
    <col min="8" max="8" width="28" style="5" customWidth="1"/>
    <col min="9" max="9" width="13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73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74</v>
      </c>
      <c r="C4" s="61"/>
      <c r="D4" s="61"/>
      <c r="E4" s="28" t="s">
        <v>43</v>
      </c>
      <c r="F4" s="61" t="s">
        <v>75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57</v>
      </c>
      <c r="B7" s="29">
        <v>20</v>
      </c>
      <c r="C7" s="30"/>
      <c r="D7" s="21"/>
      <c r="E7" s="30"/>
      <c r="F7" s="21"/>
      <c r="G7" s="30"/>
      <c r="H7" s="21"/>
      <c r="I7" s="30"/>
      <c r="J7" s="21"/>
      <c r="K7" s="30"/>
      <c r="L7" s="21"/>
    </row>
    <row r="8" spans="1:12" ht="27.75" customHeight="1" x14ac:dyDescent="0.3">
      <c r="A8" s="19" t="s">
        <v>76</v>
      </c>
      <c r="B8" s="29">
        <v>20</v>
      </c>
      <c r="C8" s="30"/>
      <c r="D8" s="21"/>
      <c r="E8" s="30"/>
      <c r="F8" s="21"/>
      <c r="G8" s="30"/>
      <c r="H8" s="21"/>
      <c r="I8" s="30"/>
      <c r="J8" s="21"/>
      <c r="K8" s="30"/>
      <c r="L8" s="21"/>
    </row>
    <row r="9" spans="1:12" ht="27.75" customHeight="1" x14ac:dyDescent="0.3">
      <c r="A9" s="19" t="s">
        <v>60</v>
      </c>
      <c r="B9" s="29">
        <v>10</v>
      </c>
      <c r="C9" s="30"/>
      <c r="D9" s="21"/>
      <c r="E9" s="30"/>
      <c r="F9" s="21"/>
      <c r="G9" s="30"/>
      <c r="H9" s="21"/>
      <c r="I9" s="30"/>
      <c r="J9" s="21"/>
      <c r="K9" s="30"/>
      <c r="L9" s="21"/>
    </row>
    <row r="10" spans="1:12" ht="27.75" customHeight="1" x14ac:dyDescent="0.3">
      <c r="A10" s="19" t="s">
        <v>77</v>
      </c>
      <c r="B10" s="29">
        <v>20</v>
      </c>
      <c r="C10" s="30"/>
      <c r="D10" s="21"/>
      <c r="E10" s="30"/>
      <c r="F10" s="21"/>
      <c r="G10" s="30"/>
      <c r="H10" s="21"/>
      <c r="I10" s="30"/>
      <c r="J10" s="21"/>
      <c r="K10" s="30"/>
      <c r="L10" s="21"/>
    </row>
    <row r="11" spans="1:12" ht="27.75" customHeight="1" x14ac:dyDescent="0.3">
      <c r="A11" s="19" t="s">
        <v>78</v>
      </c>
      <c r="B11" s="29">
        <v>10</v>
      </c>
      <c r="C11" s="30"/>
      <c r="D11" s="21"/>
      <c r="E11" s="30"/>
      <c r="F11" s="21"/>
      <c r="G11" s="30"/>
      <c r="H11" s="21"/>
      <c r="I11" s="30"/>
      <c r="J11" s="21"/>
      <c r="K11" s="30"/>
      <c r="L11" s="21"/>
    </row>
    <row r="12" spans="1:12" ht="27.75" customHeight="1" x14ac:dyDescent="0.3">
      <c r="A12" s="19" t="s">
        <v>79</v>
      </c>
      <c r="B12" s="29">
        <v>20</v>
      </c>
      <c r="C12" s="30"/>
      <c r="D12" s="21"/>
      <c r="E12" s="30"/>
      <c r="F12" s="21"/>
      <c r="G12" s="30"/>
      <c r="H12" s="21"/>
      <c r="I12" s="30"/>
      <c r="J12" s="21"/>
      <c r="K12" s="30"/>
      <c r="L12" s="21"/>
    </row>
    <row r="13" spans="1:12" s="31" customFormat="1" ht="23.4" customHeight="1" x14ac:dyDescent="0.3">
      <c r="A13" s="24" t="s">
        <v>37</v>
      </c>
      <c r="B13" s="25">
        <f>SUM(B7:B12)</f>
        <v>100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2" s="31" customFormat="1" ht="22.2" customHeight="1" x14ac:dyDescent="0.3">
      <c r="A14" s="32" t="s">
        <v>64</v>
      </c>
      <c r="B14" s="33"/>
      <c r="C14" s="34">
        <f>SUMPRODUCT(C7:C12,$B$7:$B$12)/100</f>
        <v>0</v>
      </c>
      <c r="D14" s="35"/>
      <c r="E14" s="34">
        <f>SUMPRODUCT(E7:E12,$B$7:$B$12)/100</f>
        <v>0</v>
      </c>
      <c r="F14" s="35"/>
      <c r="G14" s="34">
        <f>SUMPRODUCT(G7:G12,$B$7:$B$12)/100</f>
        <v>0</v>
      </c>
      <c r="H14" s="35"/>
      <c r="I14" s="34">
        <f>SUMPRODUCT(I7:I12,$B$7:$B$12)/100</f>
        <v>0</v>
      </c>
      <c r="J14" s="35"/>
      <c r="K14" s="34">
        <f>SUMPRODUCT(K7:K12,$B$7:$B$12)/100</f>
        <v>0</v>
      </c>
      <c r="L14" s="35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2 E7:E12 G7:G12 I7:I12 K7:K12" xr:uid="{00000000-0002-0000-04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C7" sqref="C7:L15"/>
    </sheetView>
  </sheetViews>
  <sheetFormatPr defaultColWidth="8.6640625" defaultRowHeight="14.4" x14ac:dyDescent="0.3"/>
  <cols>
    <col min="1" max="1" width="38.6640625" style="5" bestFit="1" customWidth="1"/>
    <col min="2" max="2" width="12.109375" style="5" bestFit="1" customWidth="1"/>
    <col min="3" max="3" width="13.77734375" style="5" customWidth="1"/>
    <col min="4" max="4" width="28" style="5" customWidth="1"/>
    <col min="5" max="5" width="18" style="5" bestFit="1" customWidth="1"/>
    <col min="6" max="6" width="28" style="5" customWidth="1"/>
    <col min="7" max="7" width="12" style="5" customWidth="1"/>
    <col min="8" max="8" width="28" style="5" customWidth="1"/>
    <col min="9" max="9" width="13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80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81</v>
      </c>
      <c r="C4" s="61"/>
      <c r="D4" s="61"/>
      <c r="E4" s="28" t="s">
        <v>43</v>
      </c>
      <c r="F4" s="61" t="s">
        <v>82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83</v>
      </c>
      <c r="B7" s="29">
        <v>10</v>
      </c>
      <c r="C7" s="30"/>
      <c r="D7" s="21"/>
      <c r="E7" s="30"/>
      <c r="F7" s="21"/>
      <c r="G7" s="30"/>
      <c r="H7" s="21"/>
      <c r="I7" s="30"/>
      <c r="J7" s="21"/>
      <c r="K7" s="30"/>
      <c r="L7" s="21"/>
    </row>
    <row r="8" spans="1:12" ht="27.75" customHeight="1" x14ac:dyDescent="0.3">
      <c r="A8" s="19" t="s">
        <v>84</v>
      </c>
      <c r="B8" s="29">
        <v>10</v>
      </c>
      <c r="C8" s="30"/>
      <c r="D8" s="21"/>
      <c r="E8" s="30"/>
      <c r="F8" s="21"/>
      <c r="G8" s="30"/>
      <c r="H8" s="21"/>
      <c r="I8" s="30"/>
      <c r="J8" s="21"/>
      <c r="K8" s="30"/>
      <c r="L8" s="21"/>
    </row>
    <row r="9" spans="1:12" ht="27.75" customHeight="1" x14ac:dyDescent="0.3">
      <c r="A9" s="19" t="s">
        <v>85</v>
      </c>
      <c r="B9" s="29">
        <v>10</v>
      </c>
      <c r="C9" s="30"/>
      <c r="D9" s="21"/>
      <c r="E9" s="30"/>
      <c r="F9" s="21"/>
      <c r="G9" s="30"/>
      <c r="H9" s="21"/>
      <c r="I9" s="30"/>
      <c r="J9" s="21"/>
      <c r="K9" s="30"/>
      <c r="L9" s="21"/>
    </row>
    <row r="10" spans="1:12" ht="27.75" customHeight="1" x14ac:dyDescent="0.3">
      <c r="A10" s="19" t="s">
        <v>86</v>
      </c>
      <c r="B10" s="29">
        <v>10</v>
      </c>
      <c r="C10" s="30"/>
      <c r="D10" s="21"/>
      <c r="E10" s="30"/>
      <c r="F10" s="21"/>
      <c r="G10" s="30"/>
      <c r="H10" s="21"/>
      <c r="I10" s="30"/>
      <c r="J10" s="21"/>
      <c r="K10" s="30"/>
      <c r="L10" s="21"/>
    </row>
    <row r="11" spans="1:12" ht="27.75" customHeight="1" x14ac:dyDescent="0.3">
      <c r="A11" s="19" t="s">
        <v>87</v>
      </c>
      <c r="B11" s="29">
        <v>15</v>
      </c>
      <c r="C11" s="30"/>
      <c r="D11" s="21"/>
      <c r="E11" s="30"/>
      <c r="F11" s="21"/>
      <c r="G11" s="30"/>
      <c r="H11" s="21"/>
      <c r="I11" s="30"/>
      <c r="J11" s="21"/>
      <c r="K11" s="30"/>
      <c r="L11" s="21"/>
    </row>
    <row r="12" spans="1:12" ht="27.75" customHeight="1" x14ac:dyDescent="0.3">
      <c r="A12" s="19" t="s">
        <v>88</v>
      </c>
      <c r="B12" s="29">
        <v>10</v>
      </c>
      <c r="C12" s="30"/>
      <c r="D12" s="21"/>
      <c r="E12" s="30"/>
      <c r="F12" s="21"/>
      <c r="G12" s="30"/>
      <c r="H12" s="21"/>
      <c r="I12" s="30"/>
      <c r="J12" s="21"/>
      <c r="K12" s="30"/>
      <c r="L12" s="21"/>
    </row>
    <row r="13" spans="1:12" ht="27.75" customHeight="1" x14ac:dyDescent="0.3">
      <c r="A13" s="19" t="s">
        <v>89</v>
      </c>
      <c r="B13" s="29">
        <v>10</v>
      </c>
      <c r="C13" s="30"/>
      <c r="D13" s="21"/>
      <c r="E13" s="30"/>
      <c r="F13" s="21"/>
      <c r="G13" s="30"/>
      <c r="H13" s="21"/>
      <c r="I13" s="30"/>
      <c r="J13" s="21"/>
      <c r="K13" s="30"/>
      <c r="L13" s="21"/>
    </row>
    <row r="14" spans="1:12" ht="27.75" customHeight="1" x14ac:dyDescent="0.3">
      <c r="A14" s="19" t="s">
        <v>90</v>
      </c>
      <c r="B14" s="29">
        <v>10</v>
      </c>
      <c r="C14" s="30"/>
      <c r="D14" s="21"/>
      <c r="E14" s="30"/>
      <c r="F14" s="21"/>
      <c r="G14" s="30"/>
      <c r="H14" s="21"/>
      <c r="I14" s="30"/>
      <c r="J14" s="21"/>
      <c r="K14" s="30"/>
      <c r="L14" s="21"/>
    </row>
    <row r="15" spans="1:12" ht="27.75" customHeight="1" x14ac:dyDescent="0.3">
      <c r="A15" s="19" t="s">
        <v>91</v>
      </c>
      <c r="B15" s="29">
        <v>15</v>
      </c>
      <c r="C15" s="30"/>
      <c r="D15" s="21"/>
      <c r="E15" s="30"/>
      <c r="F15" s="21"/>
      <c r="G15" s="30"/>
      <c r="H15" s="21"/>
      <c r="I15" s="30"/>
      <c r="J15" s="21"/>
      <c r="K15" s="30"/>
      <c r="L15" s="21"/>
    </row>
    <row r="16" spans="1:12" s="31" customFormat="1" ht="18.600000000000001" customHeight="1" x14ac:dyDescent="0.3">
      <c r="A16" s="24" t="s">
        <v>37</v>
      </c>
      <c r="B16" s="25">
        <f>SUM(B7:B15)</f>
        <v>100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s="31" customFormat="1" ht="19.2" customHeight="1" x14ac:dyDescent="0.3">
      <c r="A17" s="32" t="s">
        <v>64</v>
      </c>
      <c r="B17" s="33"/>
      <c r="C17" s="34">
        <f>SUMPRODUCT(C7:C15,$B$7:$B$15)/100</f>
        <v>0</v>
      </c>
      <c r="D17" s="35"/>
      <c r="E17" s="34">
        <f>SUMPRODUCT(E7:E15,$B$7:$B$15)/100</f>
        <v>0</v>
      </c>
      <c r="F17" s="35"/>
      <c r="G17" s="34">
        <f>SUMPRODUCT(G7:G15,$B$7:$B$15)/100</f>
        <v>0</v>
      </c>
      <c r="H17" s="35"/>
      <c r="I17" s="34">
        <f>SUMPRODUCT(I7:I15,$B$7:$B$15)/100</f>
        <v>0</v>
      </c>
      <c r="J17" s="35"/>
      <c r="K17" s="34">
        <f>SUMPRODUCT(K7:K15,$B$7:$B$15)/100</f>
        <v>0</v>
      </c>
      <c r="L17" s="35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5 E7:E15 G7:G15 I7:I15 K7:K15" xr:uid="{00000000-0002-0000-05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A7" sqref="A7:L10"/>
    </sheetView>
  </sheetViews>
  <sheetFormatPr defaultColWidth="8.6640625" defaultRowHeight="14.4" x14ac:dyDescent="0.3"/>
  <cols>
    <col min="1" max="1" width="42" style="5" customWidth="1"/>
    <col min="2" max="2" width="12.109375" style="5" bestFit="1" customWidth="1"/>
    <col min="3" max="3" width="13" style="5" customWidth="1"/>
    <col min="4" max="4" width="28" style="5" customWidth="1"/>
    <col min="5" max="5" width="12" style="5" customWidth="1"/>
    <col min="6" max="6" width="28" style="5" customWidth="1"/>
    <col min="7" max="7" width="12" style="5" customWidth="1"/>
    <col min="8" max="8" width="28" style="5" customWidth="1"/>
    <col min="9" max="9" width="12.77734375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92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93</v>
      </c>
      <c r="C4" s="61"/>
      <c r="D4" s="61"/>
      <c r="E4" s="28" t="s">
        <v>43</v>
      </c>
      <c r="F4" s="61" t="s">
        <v>94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95</v>
      </c>
      <c r="B7" s="29">
        <v>25</v>
      </c>
      <c r="C7" s="30"/>
      <c r="D7" s="21"/>
      <c r="E7" s="30"/>
      <c r="F7" s="21"/>
      <c r="G7" s="30"/>
      <c r="H7" s="21"/>
      <c r="I7" s="30"/>
      <c r="J7" s="21"/>
      <c r="K7" s="30"/>
      <c r="L7" s="21"/>
    </row>
    <row r="8" spans="1:12" ht="27.75" customHeight="1" x14ac:dyDescent="0.3">
      <c r="A8" s="19" t="s">
        <v>87</v>
      </c>
      <c r="B8" s="29">
        <v>25</v>
      </c>
      <c r="C8" s="30"/>
      <c r="D8" s="21"/>
      <c r="E8" s="30"/>
      <c r="F8" s="21"/>
      <c r="G8" s="30"/>
      <c r="H8" s="21"/>
      <c r="I8" s="30"/>
      <c r="J8" s="21"/>
      <c r="K8" s="30"/>
      <c r="L8" s="21"/>
    </row>
    <row r="9" spans="1:12" ht="27.75" customHeight="1" x14ac:dyDescent="0.3">
      <c r="A9" s="19" t="s">
        <v>96</v>
      </c>
      <c r="B9" s="29">
        <v>25</v>
      </c>
      <c r="C9" s="30"/>
      <c r="D9" s="21"/>
      <c r="E9" s="30"/>
      <c r="F9" s="21"/>
      <c r="G9" s="30"/>
      <c r="H9" s="21"/>
      <c r="I9" s="30"/>
      <c r="J9" s="21"/>
      <c r="K9" s="30"/>
      <c r="L9" s="21"/>
    </row>
    <row r="10" spans="1:12" ht="27.75" customHeight="1" x14ac:dyDescent="0.3">
      <c r="A10" s="19" t="s">
        <v>97</v>
      </c>
      <c r="B10" s="29">
        <v>25</v>
      </c>
      <c r="C10" s="30"/>
      <c r="D10" s="21"/>
      <c r="E10" s="30"/>
      <c r="F10" s="21"/>
      <c r="G10" s="30"/>
      <c r="H10" s="21"/>
      <c r="I10" s="30"/>
      <c r="J10" s="21"/>
      <c r="K10" s="30"/>
      <c r="L10" s="21"/>
    </row>
    <row r="11" spans="1:12" ht="15.6" x14ac:dyDescent="0.3">
      <c r="A11" s="12" t="s">
        <v>37</v>
      </c>
      <c r="B11" s="18">
        <f>SUM(B7:B10)</f>
        <v>100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.6" x14ac:dyDescent="0.3">
      <c r="A12" s="13" t="s">
        <v>64</v>
      </c>
      <c r="B12" s="14"/>
      <c r="C12" s="15">
        <f>SUMPRODUCT(C7:C10,$B$7:$B$10)/100</f>
        <v>0</v>
      </c>
      <c r="D12" s="22"/>
      <c r="E12" s="15">
        <f>SUMPRODUCT(E7:E10,$B$7:$B$10)/100</f>
        <v>0</v>
      </c>
      <c r="F12" s="22"/>
      <c r="G12" s="15">
        <f>SUMPRODUCT(G7:G10,$B$7:$B$10)/100</f>
        <v>0</v>
      </c>
      <c r="H12" s="22"/>
      <c r="I12" s="15">
        <f>SUMPRODUCT(I7:I10,$B$7:$B$10)/100</f>
        <v>0</v>
      </c>
      <c r="J12" s="22"/>
      <c r="K12" s="15">
        <f>SUMPRODUCT(K7:K10,$B$7:$B$10)/100</f>
        <v>0</v>
      </c>
      <c r="L12" s="22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0 E7:E10 G7:G10 I7:I10 K7:K10" xr:uid="{00000000-0002-0000-06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7" sqref="B7:L16"/>
    </sheetView>
  </sheetViews>
  <sheetFormatPr defaultColWidth="8.6640625" defaultRowHeight="14.4" x14ac:dyDescent="0.3"/>
  <cols>
    <col min="1" max="1" width="42" style="5" customWidth="1"/>
    <col min="2" max="2" width="12.109375" style="5" bestFit="1" customWidth="1"/>
    <col min="3" max="3" width="13.109375" style="5" customWidth="1"/>
    <col min="4" max="4" width="28" style="5" customWidth="1"/>
    <col min="5" max="5" width="12" style="5" customWidth="1"/>
    <col min="6" max="6" width="28" style="5" customWidth="1"/>
    <col min="7" max="7" width="12" style="5" customWidth="1"/>
    <col min="8" max="8" width="28" style="5" customWidth="1"/>
    <col min="9" max="9" width="13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99</v>
      </c>
      <c r="C4" s="61"/>
      <c r="D4" s="61"/>
      <c r="E4" s="28" t="s">
        <v>43</v>
      </c>
      <c r="F4" s="61" t="s">
        <v>100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ht="27.75" customHeight="1" x14ac:dyDescent="0.3">
      <c r="A7" s="19" t="s">
        <v>57</v>
      </c>
      <c r="B7" s="29">
        <v>10</v>
      </c>
      <c r="C7" s="30"/>
      <c r="D7" s="21"/>
      <c r="E7" s="30"/>
      <c r="F7" s="21"/>
      <c r="G7" s="30"/>
      <c r="H7" s="21"/>
      <c r="I7" s="30"/>
      <c r="J7" s="21"/>
      <c r="K7" s="30"/>
      <c r="L7" s="21"/>
    </row>
    <row r="8" spans="1:12" ht="27.75" customHeight="1" x14ac:dyDescent="0.3">
      <c r="A8" s="19" t="s">
        <v>76</v>
      </c>
      <c r="B8" s="29">
        <v>10</v>
      </c>
      <c r="C8" s="30"/>
      <c r="D8" s="21"/>
      <c r="E8" s="30"/>
      <c r="F8" s="21"/>
      <c r="G8" s="30"/>
      <c r="H8" s="21"/>
      <c r="I8" s="30"/>
      <c r="J8" s="21"/>
      <c r="K8" s="30"/>
      <c r="L8" s="21"/>
    </row>
    <row r="9" spans="1:12" ht="27.75" customHeight="1" x14ac:dyDescent="0.3">
      <c r="A9" s="19" t="s">
        <v>101</v>
      </c>
      <c r="B9" s="29">
        <v>10</v>
      </c>
      <c r="C9" s="30"/>
      <c r="D9" s="21"/>
      <c r="E9" s="30"/>
      <c r="F9" s="21"/>
      <c r="G9" s="30"/>
      <c r="H9" s="21"/>
      <c r="I9" s="30"/>
      <c r="J9" s="21"/>
      <c r="K9" s="30"/>
      <c r="L9" s="21"/>
    </row>
    <row r="10" spans="1:12" ht="27.75" customHeight="1" x14ac:dyDescent="0.3">
      <c r="A10" s="19" t="s">
        <v>77</v>
      </c>
      <c r="B10" s="29">
        <v>10</v>
      </c>
      <c r="C10" s="30"/>
      <c r="D10" s="21"/>
      <c r="E10" s="30"/>
      <c r="F10" s="21"/>
      <c r="G10" s="30"/>
      <c r="H10" s="21"/>
      <c r="I10" s="30"/>
      <c r="J10" s="21"/>
      <c r="K10" s="30"/>
      <c r="L10" s="21"/>
    </row>
    <row r="11" spans="1:12" ht="27.75" customHeight="1" x14ac:dyDescent="0.3">
      <c r="A11" s="19" t="s">
        <v>78</v>
      </c>
      <c r="B11" s="29">
        <v>10</v>
      </c>
      <c r="C11" s="30"/>
      <c r="D11" s="21"/>
      <c r="E11" s="30"/>
      <c r="F11" s="21"/>
      <c r="G11" s="30"/>
      <c r="H11" s="21"/>
      <c r="I11" s="30"/>
      <c r="J11" s="21"/>
      <c r="K11" s="30"/>
      <c r="L11" s="21"/>
    </row>
    <row r="12" spans="1:12" ht="27.75" customHeight="1" x14ac:dyDescent="0.3">
      <c r="A12" s="19" t="s">
        <v>102</v>
      </c>
      <c r="B12" s="29">
        <v>10</v>
      </c>
      <c r="C12" s="30"/>
      <c r="D12" s="21"/>
      <c r="E12" s="30"/>
      <c r="F12" s="21"/>
      <c r="G12" s="30"/>
      <c r="H12" s="21"/>
      <c r="I12" s="30"/>
      <c r="J12" s="21"/>
      <c r="K12" s="30"/>
      <c r="L12" s="21"/>
    </row>
    <row r="13" spans="1:12" ht="27.75" customHeight="1" x14ac:dyDescent="0.3">
      <c r="A13" s="19" t="s">
        <v>103</v>
      </c>
      <c r="B13" s="29">
        <v>10</v>
      </c>
      <c r="C13" s="30"/>
      <c r="D13" s="21"/>
      <c r="E13" s="30"/>
      <c r="F13" s="21"/>
      <c r="G13" s="30"/>
      <c r="H13" s="21"/>
      <c r="I13" s="30"/>
      <c r="J13" s="21"/>
      <c r="K13" s="30"/>
      <c r="L13" s="21"/>
    </row>
    <row r="14" spans="1:12" ht="27.75" customHeight="1" x14ac:dyDescent="0.3">
      <c r="A14" s="19" t="s">
        <v>104</v>
      </c>
      <c r="B14" s="29">
        <v>10</v>
      </c>
      <c r="C14" s="30"/>
      <c r="D14" s="21"/>
      <c r="E14" s="30"/>
      <c r="F14" s="21"/>
      <c r="G14" s="30"/>
      <c r="H14" s="21"/>
      <c r="I14" s="30"/>
      <c r="J14" s="21"/>
      <c r="K14" s="30"/>
      <c r="L14" s="21"/>
    </row>
    <row r="15" spans="1:12" ht="27.75" customHeight="1" x14ac:dyDescent="0.3">
      <c r="A15" s="19" t="s">
        <v>105</v>
      </c>
      <c r="B15" s="29">
        <v>10</v>
      </c>
      <c r="C15" s="30"/>
      <c r="D15" s="21"/>
      <c r="E15" s="30"/>
      <c r="F15" s="21"/>
      <c r="G15" s="30"/>
      <c r="H15" s="21"/>
      <c r="I15" s="30"/>
      <c r="J15" s="21"/>
      <c r="K15" s="30"/>
      <c r="L15" s="21"/>
    </row>
    <row r="16" spans="1:12" ht="27.75" customHeight="1" x14ac:dyDescent="0.3">
      <c r="A16" s="19" t="s">
        <v>106</v>
      </c>
      <c r="B16" s="29">
        <v>10</v>
      </c>
      <c r="C16" s="30"/>
      <c r="D16" s="21"/>
      <c r="E16" s="30"/>
      <c r="F16" s="21"/>
      <c r="G16" s="30"/>
      <c r="H16" s="21"/>
      <c r="I16" s="30"/>
      <c r="J16" s="21"/>
      <c r="K16" s="30"/>
      <c r="L16" s="21"/>
    </row>
    <row r="17" spans="1:12" ht="15.6" x14ac:dyDescent="0.3">
      <c r="A17" s="12" t="s">
        <v>37</v>
      </c>
      <c r="B17" s="18">
        <f>SUM(B7:B16)</f>
        <v>100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5.6" x14ac:dyDescent="0.3">
      <c r="A18" s="13" t="s">
        <v>64</v>
      </c>
      <c r="B18" s="14"/>
      <c r="C18" s="15">
        <f>SUMPRODUCT(C7:C16,$B$7:$B$16)/100</f>
        <v>0</v>
      </c>
      <c r="D18" s="22"/>
      <c r="E18" s="15">
        <f>SUMPRODUCT(E7:E16,$B$7:$B$16)/100</f>
        <v>0</v>
      </c>
      <c r="F18" s="22"/>
      <c r="G18" s="15">
        <f>SUMPRODUCT(G7:G16,$B$7:$B$16)/100</f>
        <v>0</v>
      </c>
      <c r="H18" s="22"/>
      <c r="I18" s="15">
        <f>SUMPRODUCT(I7:I16,$B$7:$B$16)/100</f>
        <v>0</v>
      </c>
      <c r="J18" s="22"/>
      <c r="K18" s="15">
        <f>SUMPRODUCT(K7:K16,$B$7:$B$16)/100</f>
        <v>0</v>
      </c>
      <c r="L18" s="22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6 E7:E16 G7:G16 I7:I16 K7:K16" xr:uid="{00000000-0002-0000-07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F29" sqref="F29"/>
    </sheetView>
  </sheetViews>
  <sheetFormatPr defaultColWidth="8.6640625" defaultRowHeight="14.4" x14ac:dyDescent="0.3"/>
  <cols>
    <col min="1" max="1" width="42" style="5" customWidth="1"/>
    <col min="2" max="2" width="12.109375" style="5" bestFit="1" customWidth="1"/>
    <col min="3" max="3" width="12.5546875" style="5" customWidth="1"/>
    <col min="4" max="4" width="28" style="5" customWidth="1"/>
    <col min="5" max="5" width="12" style="5" customWidth="1"/>
    <col min="6" max="6" width="28" style="5" customWidth="1"/>
    <col min="7" max="7" width="12" style="5" customWidth="1"/>
    <col min="8" max="8" width="28" style="5" customWidth="1"/>
    <col min="9" max="9" width="12.88671875" style="5" customWidth="1"/>
    <col min="10" max="10" width="28" style="5" customWidth="1"/>
    <col min="11" max="11" width="12" style="5" customWidth="1"/>
    <col min="12" max="12" width="28" style="5" customWidth="1"/>
    <col min="13" max="16384" width="8.6640625" style="5"/>
  </cols>
  <sheetData>
    <row r="1" spans="1:12" ht="25.5" customHeight="1" x14ac:dyDescent="0.3">
      <c r="A1" s="56" t="s">
        <v>107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.75" customHeight="1" x14ac:dyDescent="0.3">
      <c r="A2" s="57" t="s">
        <v>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.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 x14ac:dyDescent="0.3">
      <c r="A4" s="28" t="s">
        <v>41</v>
      </c>
      <c r="B4" s="61" t="s">
        <v>108</v>
      </c>
      <c r="C4" s="61"/>
      <c r="D4" s="61"/>
      <c r="E4" s="28" t="s">
        <v>43</v>
      </c>
      <c r="F4" s="61" t="s">
        <v>109</v>
      </c>
      <c r="G4" s="61"/>
      <c r="H4" s="61"/>
      <c r="I4" s="61"/>
      <c r="J4" s="61"/>
      <c r="K4" s="61"/>
      <c r="L4" s="61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0" customHeight="1" x14ac:dyDescent="0.3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</row>
    <row r="7" spans="1:12" s="31" customFormat="1" ht="27.75" customHeight="1" x14ac:dyDescent="0.3">
      <c r="A7" s="19" t="s">
        <v>110</v>
      </c>
      <c r="B7" s="29">
        <v>15</v>
      </c>
      <c r="C7" s="30"/>
      <c r="D7" s="23"/>
      <c r="E7" s="30"/>
      <c r="F7" s="23"/>
      <c r="G7" s="30"/>
      <c r="H7" s="23"/>
      <c r="I7" s="30"/>
      <c r="J7" s="23"/>
      <c r="K7" s="30"/>
      <c r="L7" s="23"/>
    </row>
    <row r="8" spans="1:12" s="31" customFormat="1" ht="27.75" customHeight="1" x14ac:dyDescent="0.3">
      <c r="A8" s="19" t="s">
        <v>111</v>
      </c>
      <c r="B8" s="29">
        <v>10</v>
      </c>
      <c r="C8" s="30"/>
      <c r="D8" s="23"/>
      <c r="E8" s="30"/>
      <c r="F8" s="23"/>
      <c r="G8" s="30"/>
      <c r="H8" s="23"/>
      <c r="I8" s="30"/>
      <c r="J8" s="23"/>
      <c r="K8" s="30"/>
      <c r="L8" s="23"/>
    </row>
    <row r="9" spans="1:12" s="31" customFormat="1" ht="27.75" customHeight="1" x14ac:dyDescent="0.3">
      <c r="A9" s="19" t="s">
        <v>112</v>
      </c>
      <c r="B9" s="29">
        <v>10</v>
      </c>
      <c r="C9" s="30"/>
      <c r="D9" s="23"/>
      <c r="E9" s="30"/>
      <c r="F9" s="23"/>
      <c r="G9" s="30"/>
      <c r="H9" s="23"/>
      <c r="I9" s="30"/>
      <c r="J9" s="23"/>
      <c r="K9" s="30"/>
      <c r="L9" s="23"/>
    </row>
    <row r="10" spans="1:12" s="31" customFormat="1" ht="27.75" customHeight="1" x14ac:dyDescent="0.3">
      <c r="A10" s="19" t="s">
        <v>113</v>
      </c>
      <c r="B10" s="29">
        <v>10</v>
      </c>
      <c r="C10" s="30"/>
      <c r="D10" s="23"/>
      <c r="E10" s="30"/>
      <c r="F10" s="23"/>
      <c r="G10" s="30"/>
      <c r="H10" s="23"/>
      <c r="I10" s="30"/>
      <c r="J10" s="23"/>
      <c r="K10" s="30"/>
      <c r="L10" s="23"/>
    </row>
    <row r="11" spans="1:12" s="31" customFormat="1" ht="27.75" customHeight="1" x14ac:dyDescent="0.3">
      <c r="A11" s="19" t="s">
        <v>114</v>
      </c>
      <c r="B11" s="29">
        <v>10</v>
      </c>
      <c r="C11" s="30"/>
      <c r="D11" s="23"/>
      <c r="E11" s="30"/>
      <c r="F11" s="23"/>
      <c r="G11" s="30"/>
      <c r="H11" s="23"/>
      <c r="I11" s="30"/>
      <c r="J11" s="23"/>
      <c r="K11" s="30"/>
      <c r="L11" s="23"/>
    </row>
    <row r="12" spans="1:12" s="31" customFormat="1" ht="27.75" customHeight="1" x14ac:dyDescent="0.3">
      <c r="A12" s="19" t="s">
        <v>115</v>
      </c>
      <c r="B12" s="29">
        <v>15</v>
      </c>
      <c r="C12" s="30"/>
      <c r="D12" s="23"/>
      <c r="E12" s="30"/>
      <c r="F12" s="23"/>
      <c r="G12" s="30"/>
      <c r="H12" s="23"/>
      <c r="I12" s="30"/>
      <c r="J12" s="23"/>
      <c r="K12" s="30"/>
      <c r="L12" s="23"/>
    </row>
    <row r="13" spans="1:12" s="31" customFormat="1" ht="27.75" customHeight="1" x14ac:dyDescent="0.3">
      <c r="A13" s="19" t="s">
        <v>116</v>
      </c>
      <c r="B13" s="29">
        <v>10</v>
      </c>
      <c r="C13" s="30"/>
      <c r="D13" s="23"/>
      <c r="E13" s="30"/>
      <c r="F13" s="23"/>
      <c r="G13" s="30"/>
      <c r="H13" s="23"/>
      <c r="I13" s="30"/>
      <c r="J13" s="23"/>
      <c r="K13" s="30"/>
      <c r="L13" s="23"/>
    </row>
    <row r="14" spans="1:12" s="31" customFormat="1" ht="27.75" customHeight="1" x14ac:dyDescent="0.3">
      <c r="A14" s="19" t="s">
        <v>87</v>
      </c>
      <c r="B14" s="29">
        <v>10</v>
      </c>
      <c r="C14" s="30"/>
      <c r="D14" s="23"/>
      <c r="E14" s="30"/>
      <c r="F14" s="23"/>
      <c r="G14" s="30"/>
      <c r="H14" s="23"/>
      <c r="I14" s="30"/>
      <c r="J14" s="23"/>
      <c r="K14" s="30"/>
      <c r="L14" s="23"/>
    </row>
    <row r="15" spans="1:12" s="31" customFormat="1" ht="27.75" customHeight="1" x14ac:dyDescent="0.3">
      <c r="A15" s="19" t="s">
        <v>117</v>
      </c>
      <c r="B15" s="29">
        <v>10</v>
      </c>
      <c r="C15" s="30"/>
      <c r="D15" s="23"/>
      <c r="E15" s="30"/>
      <c r="F15" s="23"/>
      <c r="G15" s="30"/>
      <c r="H15" s="23"/>
      <c r="I15" s="30"/>
      <c r="J15" s="23"/>
      <c r="K15" s="30"/>
      <c r="L15" s="23"/>
    </row>
    <row r="16" spans="1:12" ht="15.6" x14ac:dyDescent="0.3">
      <c r="A16" s="12" t="s">
        <v>37</v>
      </c>
      <c r="B16" s="25">
        <f>SUM(B7:B15)</f>
        <v>100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5.6" x14ac:dyDescent="0.3">
      <c r="A17" s="13" t="s">
        <v>64</v>
      </c>
      <c r="B17" s="14"/>
      <c r="C17" s="15">
        <f>SUMPRODUCT(C7:C15,$B$7:$B$15)/100</f>
        <v>0</v>
      </c>
      <c r="D17" s="22"/>
      <c r="E17" s="15">
        <f>SUMPRODUCT(E7:E15,$B$7:$B$15)/100</f>
        <v>0</v>
      </c>
      <c r="F17" s="22"/>
      <c r="G17" s="15">
        <f>SUMPRODUCT(G7:G15,$B$7:$B$15)/100</f>
        <v>0</v>
      </c>
      <c r="H17" s="22"/>
      <c r="I17" s="15">
        <f>SUMPRODUCT(I7:I15,$B$7:$B$15)/100</f>
        <v>0</v>
      </c>
      <c r="J17" s="22"/>
      <c r="K17" s="15">
        <f>SUMPRODUCT(K7:K15,$B$7:$B$15)/100</f>
        <v>0</v>
      </c>
      <c r="L17" s="22"/>
    </row>
  </sheetData>
  <mergeCells count="4">
    <mergeCell ref="A1:L1"/>
    <mergeCell ref="A2:L2"/>
    <mergeCell ref="B4:D4"/>
    <mergeCell ref="F4:L4"/>
  </mergeCells>
  <dataValidations count="1">
    <dataValidation type="whole" allowBlank="1" showErrorMessage="1" errorTitle="Invalid score" error="Enter a whole number from 1 to 5." sqref="C7:C15 E7:E15 G7:G15 I7:I15 K7:K15" xr:uid="{00000000-0002-0000-08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43"/>
  <sheetViews>
    <sheetView showGridLines="0" tabSelected="1" topLeftCell="A25" zoomScaleNormal="100" workbookViewId="0">
      <selection activeCell="E15" sqref="E15"/>
    </sheetView>
  </sheetViews>
  <sheetFormatPr defaultColWidth="8.6640625" defaultRowHeight="14.4" x14ac:dyDescent="0.3"/>
  <cols>
    <col min="1" max="1" width="54.21875" style="5" bestFit="1" customWidth="1"/>
    <col min="2" max="2" width="42" style="5" customWidth="1"/>
    <col min="3" max="3" width="24.77734375" style="5" customWidth="1"/>
    <col min="4" max="4" width="44.77734375" style="5" customWidth="1"/>
    <col min="5" max="5" width="87.6640625" style="5" bestFit="1" customWidth="1"/>
    <col min="6" max="16384" width="8.6640625" style="5"/>
  </cols>
  <sheetData>
    <row r="1" spans="1:5" ht="21" x14ac:dyDescent="0.3">
      <c r="A1" s="56" t="s">
        <v>118</v>
      </c>
      <c r="B1" s="56"/>
      <c r="C1" s="56"/>
      <c r="D1" s="56"/>
      <c r="E1" s="56"/>
    </row>
    <row r="2" spans="1:5" ht="15.6" x14ac:dyDescent="0.3">
      <c r="A2" s="57" t="s">
        <v>119</v>
      </c>
      <c r="B2" s="57"/>
      <c r="C2" s="57"/>
      <c r="D2" s="57"/>
      <c r="E2" s="57"/>
    </row>
    <row r="3" spans="1:5" ht="15.6" x14ac:dyDescent="0.3">
      <c r="A3" s="6"/>
      <c r="B3" s="6"/>
      <c r="C3" s="6"/>
      <c r="D3" s="6"/>
      <c r="E3" s="6"/>
    </row>
    <row r="4" spans="1:5" s="37" customFormat="1" ht="15.6" x14ac:dyDescent="0.3">
      <c r="A4" s="8" t="s">
        <v>120</v>
      </c>
      <c r="B4" s="8" t="s">
        <v>121</v>
      </c>
      <c r="C4" s="8" t="s">
        <v>122</v>
      </c>
      <c r="D4" s="8" t="s">
        <v>123</v>
      </c>
      <c r="E4" s="8" t="s">
        <v>124</v>
      </c>
    </row>
    <row r="5" spans="1:5" ht="31.2" x14ac:dyDescent="0.3">
      <c r="A5" s="36" t="s">
        <v>125</v>
      </c>
      <c r="B5" s="36" t="s">
        <v>30</v>
      </c>
      <c r="C5" s="36" t="s">
        <v>42</v>
      </c>
      <c r="D5" s="36" t="s">
        <v>44</v>
      </c>
      <c r="E5" s="36" t="s">
        <v>126</v>
      </c>
    </row>
    <row r="6" spans="1:5" ht="31.2" x14ac:dyDescent="0.3">
      <c r="A6" s="36" t="s">
        <v>125</v>
      </c>
      <c r="B6" s="36" t="s">
        <v>31</v>
      </c>
      <c r="C6" s="36" t="s">
        <v>66</v>
      </c>
      <c r="D6" s="36" t="s">
        <v>67</v>
      </c>
      <c r="E6" s="36" t="s">
        <v>127</v>
      </c>
    </row>
    <row r="7" spans="1:5" ht="31.2" x14ac:dyDescent="0.3">
      <c r="A7" s="36" t="s">
        <v>125</v>
      </c>
      <c r="B7" s="36" t="s">
        <v>32</v>
      </c>
      <c r="C7" s="36" t="s">
        <v>74</v>
      </c>
      <c r="D7" s="36" t="s">
        <v>75</v>
      </c>
      <c r="E7" s="36" t="s">
        <v>128</v>
      </c>
    </row>
    <row r="8" spans="1:5" ht="31.2" x14ac:dyDescent="0.3">
      <c r="A8" s="36" t="s">
        <v>125</v>
      </c>
      <c r="B8" s="36" t="s">
        <v>33</v>
      </c>
      <c r="C8" s="36" t="s">
        <v>81</v>
      </c>
      <c r="D8" s="36" t="s">
        <v>82</v>
      </c>
      <c r="E8" s="36" t="s">
        <v>129</v>
      </c>
    </row>
    <row r="9" spans="1:5" ht="33.6" customHeight="1" x14ac:dyDescent="0.3">
      <c r="A9" s="36" t="s">
        <v>125</v>
      </c>
      <c r="B9" s="36" t="s">
        <v>34</v>
      </c>
      <c r="C9" s="36" t="s">
        <v>93</v>
      </c>
      <c r="D9" s="36" t="s">
        <v>94</v>
      </c>
      <c r="E9" s="36" t="s">
        <v>130</v>
      </c>
    </row>
    <row r="10" spans="1:5" ht="78" x14ac:dyDescent="0.3">
      <c r="A10" s="36" t="s">
        <v>125</v>
      </c>
      <c r="B10" s="36" t="s">
        <v>35</v>
      </c>
      <c r="C10" s="36" t="s">
        <v>99</v>
      </c>
      <c r="D10" s="36" t="s">
        <v>100</v>
      </c>
      <c r="E10" s="36" t="s">
        <v>131</v>
      </c>
    </row>
    <row r="11" spans="1:5" ht="46.8" x14ac:dyDescent="0.3">
      <c r="A11" s="36" t="s">
        <v>125</v>
      </c>
      <c r="B11" s="36" t="s">
        <v>36</v>
      </c>
      <c r="C11" s="36" t="s">
        <v>108</v>
      </c>
      <c r="D11" s="36" t="s">
        <v>109</v>
      </c>
      <c r="E11" s="36" t="s">
        <v>132</v>
      </c>
    </row>
    <row r="12" spans="1:5" ht="15.6" x14ac:dyDescent="0.3">
      <c r="A12" s="62"/>
      <c r="B12" s="63"/>
      <c r="C12" s="63"/>
      <c r="D12" s="63"/>
      <c r="E12" s="64"/>
    </row>
    <row r="13" spans="1:5" ht="31.2" x14ac:dyDescent="0.3">
      <c r="A13" s="36" t="s">
        <v>133</v>
      </c>
      <c r="B13" s="36" t="s">
        <v>30</v>
      </c>
      <c r="C13" s="36" t="s">
        <v>42</v>
      </c>
      <c r="D13" s="36" t="s">
        <v>44</v>
      </c>
      <c r="E13" s="36" t="s">
        <v>126</v>
      </c>
    </row>
    <row r="14" spans="1:5" ht="31.2" x14ac:dyDescent="0.3">
      <c r="A14" s="36" t="s">
        <v>133</v>
      </c>
      <c r="B14" s="36" t="s">
        <v>31</v>
      </c>
      <c r="C14" s="36" t="s">
        <v>66</v>
      </c>
      <c r="D14" s="36" t="s">
        <v>67</v>
      </c>
      <c r="E14" s="36" t="s">
        <v>127</v>
      </c>
    </row>
    <row r="15" spans="1:5" ht="31.2" x14ac:dyDescent="0.3">
      <c r="A15" s="36" t="s">
        <v>133</v>
      </c>
      <c r="B15" s="36" t="s">
        <v>32</v>
      </c>
      <c r="C15" s="36" t="s">
        <v>74</v>
      </c>
      <c r="D15" s="36" t="s">
        <v>75</v>
      </c>
      <c r="E15" s="36" t="s">
        <v>128</v>
      </c>
    </row>
    <row r="16" spans="1:5" ht="31.2" x14ac:dyDescent="0.3">
      <c r="A16" s="36" t="s">
        <v>133</v>
      </c>
      <c r="B16" s="36" t="s">
        <v>33</v>
      </c>
      <c r="C16" s="36" t="s">
        <v>81</v>
      </c>
      <c r="D16" s="36" t="s">
        <v>82</v>
      </c>
      <c r="E16" s="36" t="s">
        <v>129</v>
      </c>
    </row>
    <row r="17" spans="1:5" ht="34.200000000000003" customHeight="1" x14ac:dyDescent="0.3">
      <c r="A17" s="36" t="s">
        <v>133</v>
      </c>
      <c r="B17" s="36" t="s">
        <v>34</v>
      </c>
      <c r="C17" s="36" t="s">
        <v>93</v>
      </c>
      <c r="D17" s="36" t="s">
        <v>94</v>
      </c>
      <c r="E17" s="36" t="s">
        <v>130</v>
      </c>
    </row>
    <row r="18" spans="1:5" ht="78" x14ac:dyDescent="0.3">
      <c r="A18" s="36" t="s">
        <v>133</v>
      </c>
      <c r="B18" s="36" t="s">
        <v>35</v>
      </c>
      <c r="C18" s="36" t="s">
        <v>99</v>
      </c>
      <c r="D18" s="36" t="s">
        <v>100</v>
      </c>
      <c r="E18" s="36" t="s">
        <v>131</v>
      </c>
    </row>
    <row r="19" spans="1:5" ht="46.8" x14ac:dyDescent="0.3">
      <c r="A19" s="36" t="s">
        <v>133</v>
      </c>
      <c r="B19" s="36" t="s">
        <v>36</v>
      </c>
      <c r="C19" s="36" t="s">
        <v>108</v>
      </c>
      <c r="D19" s="36" t="s">
        <v>109</v>
      </c>
      <c r="E19" s="36" t="s">
        <v>132</v>
      </c>
    </row>
    <row r="20" spans="1:5" ht="15.6" x14ac:dyDescent="0.3">
      <c r="A20" s="62"/>
      <c r="B20" s="63"/>
      <c r="C20" s="63"/>
      <c r="D20" s="63"/>
      <c r="E20" s="64"/>
    </row>
    <row r="21" spans="1:5" ht="31.2" x14ac:dyDescent="0.3">
      <c r="A21" s="36" t="s">
        <v>134</v>
      </c>
      <c r="B21" s="36" t="s">
        <v>30</v>
      </c>
      <c r="C21" s="36" t="s">
        <v>42</v>
      </c>
      <c r="D21" s="36" t="s">
        <v>44</v>
      </c>
      <c r="E21" s="36" t="s">
        <v>126</v>
      </c>
    </row>
    <row r="22" spans="1:5" ht="31.2" x14ac:dyDescent="0.3">
      <c r="A22" s="36" t="s">
        <v>134</v>
      </c>
      <c r="B22" s="36" t="s">
        <v>31</v>
      </c>
      <c r="C22" s="36" t="s">
        <v>66</v>
      </c>
      <c r="D22" s="36" t="s">
        <v>67</v>
      </c>
      <c r="E22" s="36" t="s">
        <v>127</v>
      </c>
    </row>
    <row r="23" spans="1:5" ht="31.2" x14ac:dyDescent="0.3">
      <c r="A23" s="36" t="s">
        <v>134</v>
      </c>
      <c r="B23" s="36" t="s">
        <v>32</v>
      </c>
      <c r="C23" s="36" t="s">
        <v>74</v>
      </c>
      <c r="D23" s="36" t="s">
        <v>75</v>
      </c>
      <c r="E23" s="36" t="s">
        <v>128</v>
      </c>
    </row>
    <row r="24" spans="1:5" ht="31.2" x14ac:dyDescent="0.3">
      <c r="A24" s="36" t="s">
        <v>134</v>
      </c>
      <c r="B24" s="36" t="s">
        <v>33</v>
      </c>
      <c r="C24" s="36" t="s">
        <v>81</v>
      </c>
      <c r="D24" s="36" t="s">
        <v>82</v>
      </c>
      <c r="E24" s="36" t="s">
        <v>129</v>
      </c>
    </row>
    <row r="25" spans="1:5" ht="34.799999999999997" customHeight="1" x14ac:dyDescent="0.3">
      <c r="A25" s="36" t="s">
        <v>134</v>
      </c>
      <c r="B25" s="36" t="s">
        <v>34</v>
      </c>
      <c r="C25" s="36" t="s">
        <v>93</v>
      </c>
      <c r="D25" s="36" t="s">
        <v>94</v>
      </c>
      <c r="E25" s="36" t="s">
        <v>130</v>
      </c>
    </row>
    <row r="26" spans="1:5" ht="78" x14ac:dyDescent="0.3">
      <c r="A26" s="36" t="s">
        <v>134</v>
      </c>
      <c r="B26" s="36" t="s">
        <v>35</v>
      </c>
      <c r="C26" s="36" t="s">
        <v>99</v>
      </c>
      <c r="D26" s="36" t="s">
        <v>100</v>
      </c>
      <c r="E26" s="36" t="s">
        <v>131</v>
      </c>
    </row>
    <row r="27" spans="1:5" ht="46.8" x14ac:dyDescent="0.3">
      <c r="A27" s="36" t="s">
        <v>134</v>
      </c>
      <c r="B27" s="36" t="s">
        <v>36</v>
      </c>
      <c r="C27" s="36" t="s">
        <v>108</v>
      </c>
      <c r="D27" s="36" t="s">
        <v>109</v>
      </c>
      <c r="E27" s="36" t="s">
        <v>132</v>
      </c>
    </row>
    <row r="28" spans="1:5" ht="15.6" x14ac:dyDescent="0.3">
      <c r="A28" s="62"/>
      <c r="B28" s="63"/>
      <c r="C28" s="63"/>
      <c r="D28" s="63"/>
      <c r="E28" s="64"/>
    </row>
    <row r="29" spans="1:5" ht="31.2" x14ac:dyDescent="0.3">
      <c r="A29" s="36" t="s">
        <v>135</v>
      </c>
      <c r="B29" s="36" t="s">
        <v>30</v>
      </c>
      <c r="C29" s="36" t="s">
        <v>42</v>
      </c>
      <c r="D29" s="36" t="s">
        <v>44</v>
      </c>
      <c r="E29" s="36" t="s">
        <v>126</v>
      </c>
    </row>
    <row r="30" spans="1:5" ht="31.2" x14ac:dyDescent="0.3">
      <c r="A30" s="36" t="s">
        <v>135</v>
      </c>
      <c r="B30" s="36" t="s">
        <v>31</v>
      </c>
      <c r="C30" s="36" t="s">
        <v>66</v>
      </c>
      <c r="D30" s="36" t="s">
        <v>67</v>
      </c>
      <c r="E30" s="36" t="s">
        <v>127</v>
      </c>
    </row>
    <row r="31" spans="1:5" ht="31.2" x14ac:dyDescent="0.3">
      <c r="A31" s="36" t="s">
        <v>135</v>
      </c>
      <c r="B31" s="36" t="s">
        <v>32</v>
      </c>
      <c r="C31" s="36" t="s">
        <v>74</v>
      </c>
      <c r="D31" s="36" t="s">
        <v>75</v>
      </c>
      <c r="E31" s="36" t="s">
        <v>128</v>
      </c>
    </row>
    <row r="32" spans="1:5" ht="31.2" x14ac:dyDescent="0.3">
      <c r="A32" s="36" t="s">
        <v>135</v>
      </c>
      <c r="B32" s="36" t="s">
        <v>33</v>
      </c>
      <c r="C32" s="36" t="s">
        <v>81</v>
      </c>
      <c r="D32" s="36" t="s">
        <v>82</v>
      </c>
      <c r="E32" s="36" t="s">
        <v>129</v>
      </c>
    </row>
    <row r="33" spans="1:5" ht="33" customHeight="1" x14ac:dyDescent="0.3">
      <c r="A33" s="36" t="s">
        <v>135</v>
      </c>
      <c r="B33" s="36" t="s">
        <v>34</v>
      </c>
      <c r="C33" s="36" t="s">
        <v>93</v>
      </c>
      <c r="D33" s="36" t="s">
        <v>94</v>
      </c>
      <c r="E33" s="36" t="s">
        <v>130</v>
      </c>
    </row>
    <row r="34" spans="1:5" ht="78" x14ac:dyDescent="0.3">
      <c r="A34" s="36" t="s">
        <v>135</v>
      </c>
      <c r="B34" s="36" t="s">
        <v>35</v>
      </c>
      <c r="C34" s="36" t="s">
        <v>99</v>
      </c>
      <c r="D34" s="36" t="s">
        <v>100</v>
      </c>
      <c r="E34" s="36" t="s">
        <v>131</v>
      </c>
    </row>
    <row r="35" spans="1:5" ht="46.8" x14ac:dyDescent="0.3">
      <c r="A35" s="36" t="s">
        <v>135</v>
      </c>
      <c r="B35" s="36" t="s">
        <v>36</v>
      </c>
      <c r="C35" s="36" t="s">
        <v>108</v>
      </c>
      <c r="D35" s="36" t="s">
        <v>109</v>
      </c>
      <c r="E35" s="36" t="s">
        <v>132</v>
      </c>
    </row>
    <row r="36" spans="1:5" ht="15.6" x14ac:dyDescent="0.3">
      <c r="A36" s="62"/>
      <c r="B36" s="63"/>
      <c r="C36" s="63"/>
      <c r="D36" s="63"/>
      <c r="E36" s="64"/>
    </row>
    <row r="37" spans="1:5" ht="31.2" x14ac:dyDescent="0.3">
      <c r="A37" s="36" t="s">
        <v>136</v>
      </c>
      <c r="B37" s="36" t="s">
        <v>30</v>
      </c>
      <c r="C37" s="36" t="s">
        <v>42</v>
      </c>
      <c r="D37" s="36" t="s">
        <v>44</v>
      </c>
      <c r="E37" s="36" t="s">
        <v>126</v>
      </c>
    </row>
    <row r="38" spans="1:5" ht="31.2" x14ac:dyDescent="0.3">
      <c r="A38" s="36" t="s">
        <v>136</v>
      </c>
      <c r="B38" s="36" t="s">
        <v>31</v>
      </c>
      <c r="C38" s="36" t="s">
        <v>66</v>
      </c>
      <c r="D38" s="36" t="s">
        <v>67</v>
      </c>
      <c r="E38" s="36" t="s">
        <v>127</v>
      </c>
    </row>
    <row r="39" spans="1:5" ht="31.2" x14ac:dyDescent="0.3">
      <c r="A39" s="36" t="s">
        <v>136</v>
      </c>
      <c r="B39" s="36" t="s">
        <v>32</v>
      </c>
      <c r="C39" s="36" t="s">
        <v>74</v>
      </c>
      <c r="D39" s="36" t="s">
        <v>75</v>
      </c>
      <c r="E39" s="36" t="s">
        <v>128</v>
      </c>
    </row>
    <row r="40" spans="1:5" ht="31.2" x14ac:dyDescent="0.3">
      <c r="A40" s="36" t="s">
        <v>136</v>
      </c>
      <c r="B40" s="36" t="s">
        <v>33</v>
      </c>
      <c r="C40" s="36" t="s">
        <v>81</v>
      </c>
      <c r="D40" s="36" t="s">
        <v>82</v>
      </c>
      <c r="E40" s="36" t="s">
        <v>129</v>
      </c>
    </row>
    <row r="41" spans="1:5" ht="32.4" customHeight="1" x14ac:dyDescent="0.3">
      <c r="A41" s="36" t="s">
        <v>136</v>
      </c>
      <c r="B41" s="36" t="s">
        <v>34</v>
      </c>
      <c r="C41" s="36" t="s">
        <v>93</v>
      </c>
      <c r="D41" s="36" t="s">
        <v>94</v>
      </c>
      <c r="E41" s="36" t="s">
        <v>130</v>
      </c>
    </row>
    <row r="42" spans="1:5" ht="78" x14ac:dyDescent="0.3">
      <c r="A42" s="36" t="s">
        <v>136</v>
      </c>
      <c r="B42" s="36" t="s">
        <v>35</v>
      </c>
      <c r="C42" s="36" t="s">
        <v>99</v>
      </c>
      <c r="D42" s="36" t="s">
        <v>100</v>
      </c>
      <c r="E42" s="36" t="s">
        <v>131</v>
      </c>
    </row>
    <row r="43" spans="1:5" ht="46.8" x14ac:dyDescent="0.3">
      <c r="A43" s="36" t="s">
        <v>136</v>
      </c>
      <c r="B43" s="36" t="s">
        <v>36</v>
      </c>
      <c r="C43" s="36" t="s">
        <v>108</v>
      </c>
      <c r="D43" s="36" t="s">
        <v>109</v>
      </c>
      <c r="E43" s="36" t="s">
        <v>132</v>
      </c>
    </row>
  </sheetData>
  <mergeCells count="6">
    <mergeCell ref="A36:E36"/>
    <mergeCell ref="A1:E1"/>
    <mergeCell ref="A2:E2"/>
    <mergeCell ref="A12:E12"/>
    <mergeCell ref="A20:E20"/>
    <mergeCell ref="A28:E28"/>
  </mergeCells>
  <pageMargins left="0.3" right="0.3" top="0.4" bottom="0.4" header="0.511811023622047" footer="0.511811023622047"/>
  <pageSetup fitToHeight="0" orientation="landscape" horizontalDpi="300" verticalDpi="300"/>
  <headerFooter>
    <oddFooter>&amp;L_x000D_&amp;1#&amp;"Aptos"&amp;10&amp;K000000 Confidential - All AMCE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Summary Scorecard</vt:lpstr>
      <vt:lpstr>1 Nursing</vt:lpstr>
      <vt:lpstr>2 Oncology</vt:lpstr>
      <vt:lpstr>3 Cardiology</vt:lpstr>
      <vt:lpstr>4 Lab &amp; Blood Bank</vt:lpstr>
      <vt:lpstr>5 Radiology</vt:lpstr>
      <vt:lpstr>6 GenMed Surg Pharm</vt:lpstr>
      <vt:lpstr>7 ERP Finance</vt:lpstr>
      <vt:lpstr>Master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Lawal Akibu</cp:lastModifiedBy>
  <cp:revision>0</cp:revision>
  <dcterms:created xsi:type="dcterms:W3CDTF">2026-08-28T16:51:21Z</dcterms:created>
  <dcterms:modified xsi:type="dcterms:W3CDTF">2026-09-02T11:54:57Z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98408f-0291-4bb3-9c37-ea3b3c2fd47e_Enabled">
    <vt:lpwstr>true</vt:lpwstr>
  </property>
  <property fmtid="{D5CDD505-2E9C-101B-9397-08002B2CF9AE}" pid="3" name="MSIP_Label_5a98408f-0291-4bb3-9c37-ea3b3c2fd47e_SetDate">
    <vt:lpwstr>2026-08-30T12:52:58Z</vt:lpwstr>
  </property>
  <property fmtid="{D5CDD505-2E9C-101B-9397-08002B2CF9AE}" pid="4" name="MSIP_Label_5a98408f-0291-4bb3-9c37-ea3b3c2fd47e_Method">
    <vt:lpwstr>Standard</vt:lpwstr>
  </property>
  <property fmtid="{D5CDD505-2E9C-101B-9397-08002B2CF9AE}" pid="5" name="MSIP_Label_5a98408f-0291-4bb3-9c37-ea3b3c2fd47e_Name">
    <vt:lpwstr>All AMCE</vt:lpwstr>
  </property>
  <property fmtid="{D5CDD505-2E9C-101B-9397-08002B2CF9AE}" pid="6" name="MSIP_Label_5a98408f-0291-4bb3-9c37-ea3b3c2fd47e_SiteId">
    <vt:lpwstr>d71de517-5c50-4331-ab98-ebd8b4452845</vt:lpwstr>
  </property>
  <property fmtid="{D5CDD505-2E9C-101B-9397-08002B2CF9AE}" pid="7" name="MSIP_Label_5a98408f-0291-4bb3-9c37-ea3b3c2fd47e_ActionId">
    <vt:lpwstr>c578ea50-e919-413e-9313-513ee7414f3d</vt:lpwstr>
  </property>
  <property fmtid="{D5CDD505-2E9C-101B-9397-08002B2CF9AE}" pid="8" name="MSIP_Label_5a98408f-0291-4bb3-9c37-ea3b3c2fd47e_ContentBits">
    <vt:lpwstr>2</vt:lpwstr>
  </property>
  <property fmtid="{D5CDD505-2E9C-101B-9397-08002B2CF9AE}" pid="9" name="MSIP_Label_5a98408f-0291-4bb3-9c37-ea3b3c2fd47e_Tag">
    <vt:lpwstr>10, 3, 0, 1</vt:lpwstr>
  </property>
</Properties>
</file>