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mcehq-my.sharepoint.com/personal/sambali_amce_net/Documents/Documents/Application Support/AMCE Vendor Evaluation/"/>
    </mc:Choice>
  </mc:AlternateContent>
  <xr:revisionPtr revIDLastSave="15" documentId="11_DEB288F235A5B730932E9BC62D5F7C9CCE35D0FD" xr6:coauthVersionLast="47" xr6:coauthVersionMax="47" xr10:uidLastSave="{D27A48A7-D6DF-4C01-9434-89C59EE7FD1D}"/>
  <bookViews>
    <workbookView minimized="1" xWindow="1530" yWindow="1500" windowWidth="16200" windowHeight="9270" activeTab="6" xr2:uid="{00000000-000D-0000-FFFF-FFFF00000000}"/>
  </bookViews>
  <sheets>
    <sheet name="Dashboard" sheetId="1" r:id="rId1"/>
    <sheet name="README" sheetId="2" r:id="rId2"/>
    <sheet name="Evaluator Master" sheetId="3" r:id="rId3"/>
    <sheet name="Master Calendar" sheetId="4" r:id="rId4"/>
    <sheet name="Criteria Master" sheetId="5" r:id="rId5"/>
    <sheet name="Responses" sheetId="6" r:id="rId6"/>
    <sheet name="Form 1 Nursing" sheetId="7" r:id="rId7"/>
    <sheet name="Form 2 Oncology" sheetId="8" r:id="rId8"/>
    <sheet name="Form 3 Cardiology" sheetId="9" r:id="rId9"/>
    <sheet name="Form 4 Lab_Blood" sheetId="10" r:id="rId10"/>
    <sheet name="Form 5 Radiology" sheetId="11" r:id="rId11"/>
    <sheet name="Form 6 GenMed_Surg" sheetId="12" r:id="rId12"/>
    <sheet name="Form 7 ERP_Finance" sheetId="13" r:id="rId13"/>
    <sheet name="Forms Spec" sheetId="14" r:id="rId14"/>
    <sheet name="Automation Logic" sheetId="15" r:id="rId15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3" l="1"/>
  <c r="C24" i="13"/>
  <c r="E23" i="13"/>
  <c r="E22" i="13"/>
  <c r="E21" i="13"/>
  <c r="E20" i="13"/>
  <c r="E19" i="13"/>
  <c r="E18" i="13"/>
  <c r="E17" i="13"/>
  <c r="E16" i="13"/>
  <c r="E15" i="13"/>
  <c r="B8" i="13"/>
  <c r="B7" i="13"/>
  <c r="B5" i="13"/>
  <c r="B11" i="13" s="1"/>
  <c r="D25" i="12"/>
  <c r="C25" i="12"/>
  <c r="E24" i="12"/>
  <c r="E23" i="12"/>
  <c r="E22" i="12"/>
  <c r="E21" i="12"/>
  <c r="E20" i="12"/>
  <c r="E19" i="12"/>
  <c r="E18" i="12"/>
  <c r="E17" i="12"/>
  <c r="E16" i="12"/>
  <c r="E15" i="12"/>
  <c r="B8" i="12"/>
  <c r="B7" i="12"/>
  <c r="B5" i="12"/>
  <c r="B11" i="12" s="1"/>
  <c r="D19" i="11"/>
  <c r="C19" i="11"/>
  <c r="E18" i="11"/>
  <c r="E17" i="11"/>
  <c r="E16" i="11"/>
  <c r="E15" i="11"/>
  <c r="B8" i="11"/>
  <c r="B7" i="11"/>
  <c r="B5" i="11"/>
  <c r="B11" i="11" s="1"/>
  <c r="D24" i="10"/>
  <c r="C24" i="10"/>
  <c r="E23" i="10"/>
  <c r="E22" i="10"/>
  <c r="E21" i="10"/>
  <c r="E20" i="10"/>
  <c r="E19" i="10"/>
  <c r="E18" i="10"/>
  <c r="E17" i="10"/>
  <c r="E16" i="10"/>
  <c r="E15" i="10"/>
  <c r="B8" i="10"/>
  <c r="B7" i="10"/>
  <c r="B5" i="10"/>
  <c r="B11" i="10" s="1"/>
  <c r="D21" i="9"/>
  <c r="C21" i="9"/>
  <c r="E20" i="9"/>
  <c r="E19" i="9"/>
  <c r="E18" i="9"/>
  <c r="E17" i="9"/>
  <c r="E16" i="9"/>
  <c r="E15" i="9"/>
  <c r="B8" i="9"/>
  <c r="B7" i="9"/>
  <c r="B5" i="9"/>
  <c r="B11" i="9" s="1"/>
  <c r="D20" i="8"/>
  <c r="C20" i="8"/>
  <c r="E19" i="8"/>
  <c r="E18" i="8"/>
  <c r="E17" i="8"/>
  <c r="E16" i="8"/>
  <c r="E15" i="8"/>
  <c r="B8" i="8"/>
  <c r="B7" i="8"/>
  <c r="B5" i="8"/>
  <c r="B11" i="8" s="1"/>
  <c r="D22" i="7"/>
  <c r="C22" i="7"/>
  <c r="E21" i="7"/>
  <c r="E20" i="7"/>
  <c r="E19" i="7"/>
  <c r="E18" i="7"/>
  <c r="E17" i="7"/>
  <c r="E16" i="7"/>
  <c r="E15" i="7"/>
  <c r="B8" i="7"/>
  <c r="B7" i="7"/>
  <c r="B5" i="7"/>
  <c r="B11" i="7" s="1"/>
  <c r="N701" i="6"/>
  <c r="L701" i="6"/>
  <c r="N700" i="6"/>
  <c r="L700" i="6"/>
  <c r="N699" i="6"/>
  <c r="L699" i="6"/>
  <c r="N698" i="6"/>
  <c r="L698" i="6"/>
  <c r="N697" i="6"/>
  <c r="L697" i="6"/>
  <c r="N696" i="6"/>
  <c r="L696" i="6"/>
  <c r="N695" i="6"/>
  <c r="L695" i="6"/>
  <c r="N694" i="6"/>
  <c r="L694" i="6"/>
  <c r="N693" i="6"/>
  <c r="L693" i="6"/>
  <c r="N692" i="6"/>
  <c r="L692" i="6"/>
  <c r="N691" i="6"/>
  <c r="L691" i="6"/>
  <c r="N690" i="6"/>
  <c r="L690" i="6"/>
  <c r="N689" i="6"/>
  <c r="L689" i="6"/>
  <c r="N688" i="6"/>
  <c r="L688" i="6"/>
  <c r="N687" i="6"/>
  <c r="L687" i="6"/>
  <c r="N686" i="6"/>
  <c r="L686" i="6"/>
  <c r="N685" i="6"/>
  <c r="L685" i="6"/>
  <c r="N684" i="6"/>
  <c r="L684" i="6"/>
  <c r="N683" i="6"/>
  <c r="L683" i="6"/>
  <c r="N682" i="6"/>
  <c r="L682" i="6"/>
  <c r="N681" i="6"/>
  <c r="L681" i="6"/>
  <c r="N680" i="6"/>
  <c r="L680" i="6"/>
  <c r="N679" i="6"/>
  <c r="L679" i="6"/>
  <c r="N678" i="6"/>
  <c r="L678" i="6"/>
  <c r="N677" i="6"/>
  <c r="L677" i="6"/>
  <c r="N676" i="6"/>
  <c r="L676" i="6"/>
  <c r="N675" i="6"/>
  <c r="L675" i="6"/>
  <c r="N674" i="6"/>
  <c r="L674" i="6"/>
  <c r="N673" i="6"/>
  <c r="L673" i="6"/>
  <c r="N672" i="6"/>
  <c r="L672" i="6"/>
  <c r="N671" i="6"/>
  <c r="L671" i="6"/>
  <c r="N670" i="6"/>
  <c r="L670" i="6"/>
  <c r="N669" i="6"/>
  <c r="L669" i="6"/>
  <c r="N668" i="6"/>
  <c r="L668" i="6"/>
  <c r="N667" i="6"/>
  <c r="L667" i="6"/>
  <c r="N666" i="6"/>
  <c r="L666" i="6"/>
  <c r="N665" i="6"/>
  <c r="L665" i="6"/>
  <c r="N664" i="6"/>
  <c r="L664" i="6"/>
  <c r="N663" i="6"/>
  <c r="L663" i="6"/>
  <c r="N662" i="6"/>
  <c r="L662" i="6"/>
  <c r="N661" i="6"/>
  <c r="L661" i="6"/>
  <c r="N660" i="6"/>
  <c r="L660" i="6"/>
  <c r="N659" i="6"/>
  <c r="L659" i="6"/>
  <c r="N658" i="6"/>
  <c r="L658" i="6"/>
  <c r="N657" i="6"/>
  <c r="L657" i="6"/>
  <c r="N656" i="6"/>
  <c r="L656" i="6"/>
  <c r="N655" i="6"/>
  <c r="L655" i="6"/>
  <c r="N654" i="6"/>
  <c r="L654" i="6"/>
  <c r="N653" i="6"/>
  <c r="L653" i="6"/>
  <c r="N652" i="6"/>
  <c r="L652" i="6"/>
  <c r="N651" i="6"/>
  <c r="L651" i="6"/>
  <c r="N650" i="6"/>
  <c r="L650" i="6"/>
  <c r="N649" i="6"/>
  <c r="L649" i="6"/>
  <c r="N648" i="6"/>
  <c r="L648" i="6"/>
  <c r="N647" i="6"/>
  <c r="L647" i="6"/>
  <c r="N646" i="6"/>
  <c r="L646" i="6"/>
  <c r="N645" i="6"/>
  <c r="L645" i="6"/>
  <c r="N644" i="6"/>
  <c r="L644" i="6"/>
  <c r="N643" i="6"/>
  <c r="L643" i="6"/>
  <c r="N642" i="6"/>
  <c r="L642" i="6"/>
  <c r="N641" i="6"/>
  <c r="L641" i="6"/>
  <c r="N640" i="6"/>
  <c r="L640" i="6"/>
  <c r="N639" i="6"/>
  <c r="L639" i="6"/>
  <c r="N638" i="6"/>
  <c r="L638" i="6"/>
  <c r="N637" i="6"/>
  <c r="L637" i="6"/>
  <c r="N636" i="6"/>
  <c r="L636" i="6"/>
  <c r="N635" i="6"/>
  <c r="L635" i="6"/>
  <c r="N634" i="6"/>
  <c r="L634" i="6"/>
  <c r="N633" i="6"/>
  <c r="L633" i="6"/>
  <c r="N632" i="6"/>
  <c r="L632" i="6"/>
  <c r="N631" i="6"/>
  <c r="L631" i="6"/>
  <c r="N630" i="6"/>
  <c r="L630" i="6"/>
  <c r="N629" i="6"/>
  <c r="L629" i="6"/>
  <c r="N628" i="6"/>
  <c r="L628" i="6"/>
  <c r="N627" i="6"/>
  <c r="L627" i="6"/>
  <c r="N626" i="6"/>
  <c r="L626" i="6"/>
  <c r="N625" i="6"/>
  <c r="L625" i="6"/>
  <c r="N624" i="6"/>
  <c r="L624" i="6"/>
  <c r="N623" i="6"/>
  <c r="L623" i="6"/>
  <c r="N622" i="6"/>
  <c r="L622" i="6"/>
  <c r="N621" i="6"/>
  <c r="L621" i="6"/>
  <c r="N620" i="6"/>
  <c r="L620" i="6"/>
  <c r="N619" i="6"/>
  <c r="L619" i="6"/>
  <c r="N618" i="6"/>
  <c r="L618" i="6"/>
  <c r="N617" i="6"/>
  <c r="L617" i="6"/>
  <c r="N616" i="6"/>
  <c r="L616" i="6"/>
  <c r="N615" i="6"/>
  <c r="L615" i="6"/>
  <c r="N614" i="6"/>
  <c r="L614" i="6"/>
  <c r="N613" i="6"/>
  <c r="L613" i="6"/>
  <c r="N612" i="6"/>
  <c r="L612" i="6"/>
  <c r="N611" i="6"/>
  <c r="L611" i="6"/>
  <c r="N610" i="6"/>
  <c r="L610" i="6"/>
  <c r="N609" i="6"/>
  <c r="L609" i="6"/>
  <c r="N608" i="6"/>
  <c r="L608" i="6"/>
  <c r="N607" i="6"/>
  <c r="L607" i="6"/>
  <c r="N606" i="6"/>
  <c r="L606" i="6"/>
  <c r="N605" i="6"/>
  <c r="L605" i="6"/>
  <c r="N604" i="6"/>
  <c r="L604" i="6"/>
  <c r="N603" i="6"/>
  <c r="L603" i="6"/>
  <c r="N602" i="6"/>
  <c r="L602" i="6"/>
  <c r="N601" i="6"/>
  <c r="L601" i="6"/>
  <c r="N600" i="6"/>
  <c r="L600" i="6"/>
  <c r="N599" i="6"/>
  <c r="L599" i="6"/>
  <c r="N598" i="6"/>
  <c r="L598" i="6"/>
  <c r="N597" i="6"/>
  <c r="L597" i="6"/>
  <c r="N596" i="6"/>
  <c r="L596" i="6"/>
  <c r="N595" i="6"/>
  <c r="L595" i="6"/>
  <c r="N594" i="6"/>
  <c r="L594" i="6"/>
  <c r="N593" i="6"/>
  <c r="L593" i="6"/>
  <c r="N592" i="6"/>
  <c r="L592" i="6"/>
  <c r="N591" i="6"/>
  <c r="L591" i="6"/>
  <c r="N590" i="6"/>
  <c r="L590" i="6"/>
  <c r="N589" i="6"/>
  <c r="L589" i="6"/>
  <c r="N588" i="6"/>
  <c r="L588" i="6"/>
  <c r="N587" i="6"/>
  <c r="L587" i="6"/>
  <c r="N586" i="6"/>
  <c r="L586" i="6"/>
  <c r="N585" i="6"/>
  <c r="L585" i="6"/>
  <c r="N584" i="6"/>
  <c r="L584" i="6"/>
  <c r="N583" i="6"/>
  <c r="L583" i="6"/>
  <c r="N582" i="6"/>
  <c r="L582" i="6"/>
  <c r="N581" i="6"/>
  <c r="L581" i="6"/>
  <c r="N580" i="6"/>
  <c r="L580" i="6"/>
  <c r="N579" i="6"/>
  <c r="L579" i="6"/>
  <c r="N578" i="6"/>
  <c r="L578" i="6"/>
  <c r="N577" i="6"/>
  <c r="L577" i="6"/>
  <c r="N576" i="6"/>
  <c r="L576" i="6"/>
  <c r="N575" i="6"/>
  <c r="L575" i="6"/>
  <c r="N574" i="6"/>
  <c r="L574" i="6"/>
  <c r="N573" i="6"/>
  <c r="L573" i="6"/>
  <c r="N572" i="6"/>
  <c r="L572" i="6"/>
  <c r="N571" i="6"/>
  <c r="L571" i="6"/>
  <c r="N570" i="6"/>
  <c r="L570" i="6"/>
  <c r="N569" i="6"/>
  <c r="L569" i="6"/>
  <c r="N568" i="6"/>
  <c r="L568" i="6"/>
  <c r="N567" i="6"/>
  <c r="L567" i="6"/>
  <c r="N566" i="6"/>
  <c r="L566" i="6"/>
  <c r="N565" i="6"/>
  <c r="L565" i="6"/>
  <c r="N564" i="6"/>
  <c r="L564" i="6"/>
  <c r="N563" i="6"/>
  <c r="L563" i="6"/>
  <c r="N562" i="6"/>
  <c r="L562" i="6"/>
  <c r="N561" i="6"/>
  <c r="L561" i="6"/>
  <c r="N560" i="6"/>
  <c r="L560" i="6"/>
  <c r="N559" i="6"/>
  <c r="L559" i="6"/>
  <c r="N558" i="6"/>
  <c r="L558" i="6"/>
  <c r="N557" i="6"/>
  <c r="L557" i="6"/>
  <c r="N556" i="6"/>
  <c r="L556" i="6"/>
  <c r="N555" i="6"/>
  <c r="L555" i="6"/>
  <c r="N554" i="6"/>
  <c r="L554" i="6"/>
  <c r="N553" i="6"/>
  <c r="L553" i="6"/>
  <c r="N552" i="6"/>
  <c r="L552" i="6"/>
  <c r="N551" i="6"/>
  <c r="L551" i="6"/>
  <c r="N550" i="6"/>
  <c r="L550" i="6"/>
  <c r="N549" i="6"/>
  <c r="L549" i="6"/>
  <c r="N548" i="6"/>
  <c r="L548" i="6"/>
  <c r="N547" i="6"/>
  <c r="L547" i="6"/>
  <c r="N546" i="6"/>
  <c r="L546" i="6"/>
  <c r="N545" i="6"/>
  <c r="L545" i="6"/>
  <c r="N544" i="6"/>
  <c r="L544" i="6"/>
  <c r="N543" i="6"/>
  <c r="L543" i="6"/>
  <c r="N542" i="6"/>
  <c r="L542" i="6"/>
  <c r="N541" i="6"/>
  <c r="L541" i="6"/>
  <c r="N540" i="6"/>
  <c r="L540" i="6"/>
  <c r="N539" i="6"/>
  <c r="L539" i="6"/>
  <c r="N538" i="6"/>
  <c r="L538" i="6"/>
  <c r="N537" i="6"/>
  <c r="L537" i="6"/>
  <c r="N536" i="6"/>
  <c r="L536" i="6"/>
  <c r="N535" i="6"/>
  <c r="L535" i="6"/>
  <c r="N534" i="6"/>
  <c r="L534" i="6"/>
  <c r="N533" i="6"/>
  <c r="L533" i="6"/>
  <c r="N532" i="6"/>
  <c r="L532" i="6"/>
  <c r="N531" i="6"/>
  <c r="L531" i="6"/>
  <c r="N530" i="6"/>
  <c r="L530" i="6"/>
  <c r="N529" i="6"/>
  <c r="L529" i="6"/>
  <c r="N528" i="6"/>
  <c r="L528" i="6"/>
  <c r="N527" i="6"/>
  <c r="L527" i="6"/>
  <c r="N526" i="6"/>
  <c r="L526" i="6"/>
  <c r="N525" i="6"/>
  <c r="L525" i="6"/>
  <c r="N524" i="6"/>
  <c r="L524" i="6"/>
  <c r="N523" i="6"/>
  <c r="L523" i="6"/>
  <c r="N522" i="6"/>
  <c r="L522" i="6"/>
  <c r="N521" i="6"/>
  <c r="L521" i="6"/>
  <c r="N520" i="6"/>
  <c r="L520" i="6"/>
  <c r="N519" i="6"/>
  <c r="L519" i="6"/>
  <c r="N518" i="6"/>
  <c r="L518" i="6"/>
  <c r="N517" i="6"/>
  <c r="L517" i="6"/>
  <c r="N516" i="6"/>
  <c r="L516" i="6"/>
  <c r="N515" i="6"/>
  <c r="L515" i="6"/>
  <c r="N514" i="6"/>
  <c r="L514" i="6"/>
  <c r="N513" i="6"/>
  <c r="L513" i="6"/>
  <c r="N512" i="6"/>
  <c r="L512" i="6"/>
  <c r="N511" i="6"/>
  <c r="L511" i="6"/>
  <c r="N510" i="6"/>
  <c r="L510" i="6"/>
  <c r="N509" i="6"/>
  <c r="L509" i="6"/>
  <c r="N508" i="6"/>
  <c r="L508" i="6"/>
  <c r="N507" i="6"/>
  <c r="L507" i="6"/>
  <c r="N506" i="6"/>
  <c r="L506" i="6"/>
  <c r="N505" i="6"/>
  <c r="L505" i="6"/>
  <c r="N504" i="6"/>
  <c r="L504" i="6"/>
  <c r="N503" i="6"/>
  <c r="L503" i="6"/>
  <c r="N502" i="6"/>
  <c r="L502" i="6"/>
  <c r="N501" i="6"/>
  <c r="L501" i="6"/>
  <c r="N500" i="6"/>
  <c r="L500" i="6"/>
  <c r="N499" i="6"/>
  <c r="L499" i="6"/>
  <c r="N498" i="6"/>
  <c r="L498" i="6"/>
  <c r="N497" i="6"/>
  <c r="L497" i="6"/>
  <c r="N496" i="6"/>
  <c r="L496" i="6"/>
  <c r="N495" i="6"/>
  <c r="L495" i="6"/>
  <c r="N494" i="6"/>
  <c r="L494" i="6"/>
  <c r="N493" i="6"/>
  <c r="L493" i="6"/>
  <c r="N492" i="6"/>
  <c r="L492" i="6"/>
  <c r="N491" i="6"/>
  <c r="L491" i="6"/>
  <c r="N490" i="6"/>
  <c r="L490" i="6"/>
  <c r="N489" i="6"/>
  <c r="L489" i="6"/>
  <c r="N488" i="6"/>
  <c r="L488" i="6"/>
  <c r="N487" i="6"/>
  <c r="L487" i="6"/>
  <c r="N486" i="6"/>
  <c r="L486" i="6"/>
  <c r="N485" i="6"/>
  <c r="L485" i="6"/>
  <c r="N484" i="6"/>
  <c r="L484" i="6"/>
  <c r="N483" i="6"/>
  <c r="L483" i="6"/>
  <c r="N482" i="6"/>
  <c r="L482" i="6"/>
  <c r="N481" i="6"/>
  <c r="L481" i="6"/>
  <c r="N480" i="6"/>
  <c r="L480" i="6"/>
  <c r="N479" i="6"/>
  <c r="L479" i="6"/>
  <c r="N478" i="6"/>
  <c r="L478" i="6"/>
  <c r="N477" i="6"/>
  <c r="L477" i="6"/>
  <c r="N476" i="6"/>
  <c r="L476" i="6"/>
  <c r="N475" i="6"/>
  <c r="L475" i="6"/>
  <c r="N474" i="6"/>
  <c r="L474" i="6"/>
  <c r="N473" i="6"/>
  <c r="L473" i="6"/>
  <c r="N472" i="6"/>
  <c r="L472" i="6"/>
  <c r="N471" i="6"/>
  <c r="L471" i="6"/>
  <c r="N470" i="6"/>
  <c r="L470" i="6"/>
  <c r="N469" i="6"/>
  <c r="L469" i="6"/>
  <c r="N468" i="6"/>
  <c r="L468" i="6"/>
  <c r="N467" i="6"/>
  <c r="L467" i="6"/>
  <c r="N466" i="6"/>
  <c r="L466" i="6"/>
  <c r="N465" i="6"/>
  <c r="L465" i="6"/>
  <c r="N464" i="6"/>
  <c r="L464" i="6"/>
  <c r="N463" i="6"/>
  <c r="L463" i="6"/>
  <c r="N462" i="6"/>
  <c r="L462" i="6"/>
  <c r="N461" i="6"/>
  <c r="L461" i="6"/>
  <c r="N460" i="6"/>
  <c r="L460" i="6"/>
  <c r="N459" i="6"/>
  <c r="L459" i="6"/>
  <c r="N458" i="6"/>
  <c r="L458" i="6"/>
  <c r="N457" i="6"/>
  <c r="L457" i="6"/>
  <c r="N456" i="6"/>
  <c r="L456" i="6"/>
  <c r="N455" i="6"/>
  <c r="L455" i="6"/>
  <c r="N454" i="6"/>
  <c r="L454" i="6"/>
  <c r="N453" i="6"/>
  <c r="L453" i="6"/>
  <c r="N452" i="6"/>
  <c r="L452" i="6"/>
  <c r="N451" i="6"/>
  <c r="L451" i="6"/>
  <c r="N450" i="6"/>
  <c r="L450" i="6"/>
  <c r="N449" i="6"/>
  <c r="L449" i="6"/>
  <c r="N448" i="6"/>
  <c r="L448" i="6"/>
  <c r="N447" i="6"/>
  <c r="L447" i="6"/>
  <c r="N446" i="6"/>
  <c r="L446" i="6"/>
  <c r="N445" i="6"/>
  <c r="L445" i="6"/>
  <c r="N444" i="6"/>
  <c r="L444" i="6"/>
  <c r="N443" i="6"/>
  <c r="L443" i="6"/>
  <c r="N442" i="6"/>
  <c r="L442" i="6"/>
  <c r="N441" i="6"/>
  <c r="L441" i="6"/>
  <c r="N440" i="6"/>
  <c r="L440" i="6"/>
  <c r="N439" i="6"/>
  <c r="L439" i="6"/>
  <c r="N438" i="6"/>
  <c r="L438" i="6"/>
  <c r="N437" i="6"/>
  <c r="L437" i="6"/>
  <c r="N436" i="6"/>
  <c r="L436" i="6"/>
  <c r="N435" i="6"/>
  <c r="L435" i="6"/>
  <c r="N434" i="6"/>
  <c r="L434" i="6"/>
  <c r="N433" i="6"/>
  <c r="L433" i="6"/>
  <c r="N432" i="6"/>
  <c r="L432" i="6"/>
  <c r="N431" i="6"/>
  <c r="L431" i="6"/>
  <c r="N430" i="6"/>
  <c r="L430" i="6"/>
  <c r="N429" i="6"/>
  <c r="L429" i="6"/>
  <c r="N428" i="6"/>
  <c r="L428" i="6"/>
  <c r="N427" i="6"/>
  <c r="L427" i="6"/>
  <c r="N426" i="6"/>
  <c r="L426" i="6"/>
  <c r="N425" i="6"/>
  <c r="L425" i="6"/>
  <c r="N424" i="6"/>
  <c r="L424" i="6"/>
  <c r="N423" i="6"/>
  <c r="L423" i="6"/>
  <c r="N422" i="6"/>
  <c r="L422" i="6"/>
  <c r="N421" i="6"/>
  <c r="L421" i="6"/>
  <c r="N420" i="6"/>
  <c r="L420" i="6"/>
  <c r="N419" i="6"/>
  <c r="L419" i="6"/>
  <c r="N418" i="6"/>
  <c r="L418" i="6"/>
  <c r="N417" i="6"/>
  <c r="L417" i="6"/>
  <c r="N416" i="6"/>
  <c r="L416" i="6"/>
  <c r="N415" i="6"/>
  <c r="L415" i="6"/>
  <c r="N414" i="6"/>
  <c r="L414" i="6"/>
  <c r="N413" i="6"/>
  <c r="L413" i="6"/>
  <c r="N412" i="6"/>
  <c r="L412" i="6"/>
  <c r="N411" i="6"/>
  <c r="L411" i="6"/>
  <c r="N410" i="6"/>
  <c r="L410" i="6"/>
  <c r="N409" i="6"/>
  <c r="L409" i="6"/>
  <c r="N408" i="6"/>
  <c r="L408" i="6"/>
  <c r="N407" i="6"/>
  <c r="L407" i="6"/>
  <c r="N406" i="6"/>
  <c r="L406" i="6"/>
  <c r="N405" i="6"/>
  <c r="L405" i="6"/>
  <c r="N404" i="6"/>
  <c r="L404" i="6"/>
  <c r="N403" i="6"/>
  <c r="L403" i="6"/>
  <c r="N402" i="6"/>
  <c r="L402" i="6"/>
  <c r="N401" i="6"/>
  <c r="L401" i="6"/>
  <c r="N400" i="6"/>
  <c r="L400" i="6"/>
  <c r="N399" i="6"/>
  <c r="L399" i="6"/>
  <c r="N398" i="6"/>
  <c r="L398" i="6"/>
  <c r="N397" i="6"/>
  <c r="L397" i="6"/>
  <c r="N396" i="6"/>
  <c r="L396" i="6"/>
  <c r="N395" i="6"/>
  <c r="L395" i="6"/>
  <c r="N394" i="6"/>
  <c r="L394" i="6"/>
  <c r="N393" i="6"/>
  <c r="L393" i="6"/>
  <c r="N392" i="6"/>
  <c r="L392" i="6"/>
  <c r="N391" i="6"/>
  <c r="L391" i="6"/>
  <c r="N390" i="6"/>
  <c r="L390" i="6"/>
  <c r="N389" i="6"/>
  <c r="L389" i="6"/>
  <c r="N388" i="6"/>
  <c r="L388" i="6"/>
  <c r="N387" i="6"/>
  <c r="L387" i="6"/>
  <c r="N386" i="6"/>
  <c r="L386" i="6"/>
  <c r="N385" i="6"/>
  <c r="L385" i="6"/>
  <c r="N384" i="6"/>
  <c r="L384" i="6"/>
  <c r="N383" i="6"/>
  <c r="L383" i="6"/>
  <c r="N382" i="6"/>
  <c r="L382" i="6"/>
  <c r="N381" i="6"/>
  <c r="L381" i="6"/>
  <c r="N380" i="6"/>
  <c r="L380" i="6"/>
  <c r="N379" i="6"/>
  <c r="L379" i="6"/>
  <c r="N378" i="6"/>
  <c r="L378" i="6"/>
  <c r="N377" i="6"/>
  <c r="L377" i="6"/>
  <c r="N376" i="6"/>
  <c r="L376" i="6"/>
  <c r="N375" i="6"/>
  <c r="L375" i="6"/>
  <c r="N374" i="6"/>
  <c r="L374" i="6"/>
  <c r="N373" i="6"/>
  <c r="L373" i="6"/>
  <c r="N372" i="6"/>
  <c r="L372" i="6"/>
  <c r="N371" i="6"/>
  <c r="L371" i="6"/>
  <c r="N370" i="6"/>
  <c r="L370" i="6"/>
  <c r="N369" i="6"/>
  <c r="L369" i="6"/>
  <c r="N368" i="6"/>
  <c r="L368" i="6"/>
  <c r="N367" i="6"/>
  <c r="L367" i="6"/>
  <c r="N366" i="6"/>
  <c r="L366" i="6"/>
  <c r="N365" i="6"/>
  <c r="L365" i="6"/>
  <c r="N364" i="6"/>
  <c r="L364" i="6"/>
  <c r="N363" i="6"/>
  <c r="L363" i="6"/>
  <c r="N362" i="6"/>
  <c r="L362" i="6"/>
  <c r="N361" i="6"/>
  <c r="L361" i="6"/>
  <c r="N360" i="6"/>
  <c r="L360" i="6"/>
  <c r="N359" i="6"/>
  <c r="L359" i="6"/>
  <c r="N358" i="6"/>
  <c r="L358" i="6"/>
  <c r="N357" i="6"/>
  <c r="L357" i="6"/>
  <c r="N356" i="6"/>
  <c r="L356" i="6"/>
  <c r="N355" i="6"/>
  <c r="L355" i="6"/>
  <c r="N354" i="6"/>
  <c r="L354" i="6"/>
  <c r="N353" i="6"/>
  <c r="L353" i="6"/>
  <c r="N352" i="6"/>
  <c r="L352" i="6"/>
  <c r="N351" i="6"/>
  <c r="L351" i="6"/>
  <c r="N350" i="6"/>
  <c r="L350" i="6"/>
  <c r="N349" i="6"/>
  <c r="L349" i="6"/>
  <c r="N348" i="6"/>
  <c r="L348" i="6"/>
  <c r="N347" i="6"/>
  <c r="L347" i="6"/>
  <c r="N346" i="6"/>
  <c r="L346" i="6"/>
  <c r="N345" i="6"/>
  <c r="L345" i="6"/>
  <c r="N344" i="6"/>
  <c r="L344" i="6"/>
  <c r="N343" i="6"/>
  <c r="L343" i="6"/>
  <c r="N342" i="6"/>
  <c r="L342" i="6"/>
  <c r="N341" i="6"/>
  <c r="L341" i="6"/>
  <c r="N340" i="6"/>
  <c r="L340" i="6"/>
  <c r="N339" i="6"/>
  <c r="L339" i="6"/>
  <c r="N338" i="6"/>
  <c r="L338" i="6"/>
  <c r="N337" i="6"/>
  <c r="L337" i="6"/>
  <c r="N336" i="6"/>
  <c r="L336" i="6"/>
  <c r="N335" i="6"/>
  <c r="L335" i="6"/>
  <c r="N334" i="6"/>
  <c r="L334" i="6"/>
  <c r="N333" i="6"/>
  <c r="L333" i="6"/>
  <c r="N332" i="6"/>
  <c r="L332" i="6"/>
  <c r="N331" i="6"/>
  <c r="L331" i="6"/>
  <c r="N330" i="6"/>
  <c r="L330" i="6"/>
  <c r="N329" i="6"/>
  <c r="L329" i="6"/>
  <c r="N328" i="6"/>
  <c r="L328" i="6"/>
  <c r="N327" i="6"/>
  <c r="L327" i="6"/>
  <c r="N326" i="6"/>
  <c r="L326" i="6"/>
  <c r="N325" i="6"/>
  <c r="L325" i="6"/>
  <c r="N324" i="6"/>
  <c r="L324" i="6"/>
  <c r="N323" i="6"/>
  <c r="L323" i="6"/>
  <c r="N322" i="6"/>
  <c r="L322" i="6"/>
  <c r="N321" i="6"/>
  <c r="L321" i="6"/>
  <c r="N320" i="6"/>
  <c r="L320" i="6"/>
  <c r="N319" i="6"/>
  <c r="L319" i="6"/>
  <c r="N318" i="6"/>
  <c r="L318" i="6"/>
  <c r="N317" i="6"/>
  <c r="L317" i="6"/>
  <c r="N316" i="6"/>
  <c r="L316" i="6"/>
  <c r="N315" i="6"/>
  <c r="L315" i="6"/>
  <c r="N314" i="6"/>
  <c r="L314" i="6"/>
  <c r="N313" i="6"/>
  <c r="L313" i="6"/>
  <c r="N312" i="6"/>
  <c r="L312" i="6"/>
  <c r="N311" i="6"/>
  <c r="L311" i="6"/>
  <c r="N310" i="6"/>
  <c r="L310" i="6"/>
  <c r="N309" i="6"/>
  <c r="L309" i="6"/>
  <c r="N308" i="6"/>
  <c r="L308" i="6"/>
  <c r="N307" i="6"/>
  <c r="L307" i="6"/>
  <c r="N306" i="6"/>
  <c r="L306" i="6"/>
  <c r="N305" i="6"/>
  <c r="L305" i="6"/>
  <c r="N304" i="6"/>
  <c r="L304" i="6"/>
  <c r="N303" i="6"/>
  <c r="L303" i="6"/>
  <c r="N302" i="6"/>
  <c r="L302" i="6"/>
  <c r="N301" i="6"/>
  <c r="L301" i="6"/>
  <c r="N300" i="6"/>
  <c r="L300" i="6"/>
  <c r="N299" i="6"/>
  <c r="L299" i="6"/>
  <c r="N298" i="6"/>
  <c r="L298" i="6"/>
  <c r="N297" i="6"/>
  <c r="L297" i="6"/>
  <c r="N296" i="6"/>
  <c r="L296" i="6"/>
  <c r="N295" i="6"/>
  <c r="L295" i="6"/>
  <c r="N294" i="6"/>
  <c r="L294" i="6"/>
  <c r="N293" i="6"/>
  <c r="L293" i="6"/>
  <c r="N292" i="6"/>
  <c r="L292" i="6"/>
  <c r="N291" i="6"/>
  <c r="L291" i="6"/>
  <c r="N290" i="6"/>
  <c r="L290" i="6"/>
  <c r="N289" i="6"/>
  <c r="L289" i="6"/>
  <c r="N288" i="6"/>
  <c r="L288" i="6"/>
  <c r="N287" i="6"/>
  <c r="L287" i="6"/>
  <c r="N286" i="6"/>
  <c r="L286" i="6"/>
  <c r="N285" i="6"/>
  <c r="L285" i="6"/>
  <c r="N284" i="6"/>
  <c r="L284" i="6"/>
  <c r="N283" i="6"/>
  <c r="L283" i="6"/>
  <c r="N282" i="6"/>
  <c r="L282" i="6"/>
  <c r="N281" i="6"/>
  <c r="L281" i="6"/>
  <c r="N280" i="6"/>
  <c r="L280" i="6"/>
  <c r="N279" i="6"/>
  <c r="L279" i="6"/>
  <c r="N278" i="6"/>
  <c r="L278" i="6"/>
  <c r="N277" i="6"/>
  <c r="L277" i="6"/>
  <c r="N276" i="6"/>
  <c r="L276" i="6"/>
  <c r="N275" i="6"/>
  <c r="L275" i="6"/>
  <c r="N274" i="6"/>
  <c r="L274" i="6"/>
  <c r="N273" i="6"/>
  <c r="L273" i="6"/>
  <c r="N272" i="6"/>
  <c r="L272" i="6"/>
  <c r="N271" i="6"/>
  <c r="L271" i="6"/>
  <c r="N270" i="6"/>
  <c r="L270" i="6"/>
  <c r="N269" i="6"/>
  <c r="L269" i="6"/>
  <c r="N268" i="6"/>
  <c r="L268" i="6"/>
  <c r="N267" i="6"/>
  <c r="L267" i="6"/>
  <c r="N266" i="6"/>
  <c r="L266" i="6"/>
  <c r="N265" i="6"/>
  <c r="L265" i="6"/>
  <c r="N264" i="6"/>
  <c r="L264" i="6"/>
  <c r="N263" i="6"/>
  <c r="L263" i="6"/>
  <c r="N262" i="6"/>
  <c r="L262" i="6"/>
  <c r="N261" i="6"/>
  <c r="L261" i="6"/>
  <c r="N260" i="6"/>
  <c r="L260" i="6"/>
  <c r="N259" i="6"/>
  <c r="L259" i="6"/>
  <c r="N258" i="6"/>
  <c r="L258" i="6"/>
  <c r="N257" i="6"/>
  <c r="L257" i="6"/>
  <c r="N256" i="6"/>
  <c r="L256" i="6"/>
  <c r="N255" i="6"/>
  <c r="L255" i="6"/>
  <c r="N254" i="6"/>
  <c r="L254" i="6"/>
  <c r="N253" i="6"/>
  <c r="L253" i="6"/>
  <c r="N252" i="6"/>
  <c r="L252" i="6"/>
  <c r="N251" i="6"/>
  <c r="L251" i="6"/>
  <c r="N250" i="6"/>
  <c r="L250" i="6"/>
  <c r="N249" i="6"/>
  <c r="L249" i="6"/>
  <c r="N248" i="6"/>
  <c r="L248" i="6"/>
  <c r="N247" i="6"/>
  <c r="L247" i="6"/>
  <c r="N246" i="6"/>
  <c r="L246" i="6"/>
  <c r="N245" i="6"/>
  <c r="L245" i="6"/>
  <c r="N244" i="6"/>
  <c r="L244" i="6"/>
  <c r="N243" i="6"/>
  <c r="L243" i="6"/>
  <c r="N242" i="6"/>
  <c r="L242" i="6"/>
  <c r="N241" i="6"/>
  <c r="L241" i="6"/>
  <c r="N240" i="6"/>
  <c r="L240" i="6"/>
  <c r="N239" i="6"/>
  <c r="L239" i="6"/>
  <c r="N238" i="6"/>
  <c r="L238" i="6"/>
  <c r="N237" i="6"/>
  <c r="L237" i="6"/>
  <c r="N236" i="6"/>
  <c r="L236" i="6"/>
  <c r="N235" i="6"/>
  <c r="L235" i="6"/>
  <c r="N234" i="6"/>
  <c r="L234" i="6"/>
  <c r="N233" i="6"/>
  <c r="L233" i="6"/>
  <c r="N232" i="6"/>
  <c r="L232" i="6"/>
  <c r="N231" i="6"/>
  <c r="L231" i="6"/>
  <c r="N230" i="6"/>
  <c r="L230" i="6"/>
  <c r="N229" i="6"/>
  <c r="L229" i="6"/>
  <c r="N228" i="6"/>
  <c r="L228" i="6"/>
  <c r="N227" i="6"/>
  <c r="L227" i="6"/>
  <c r="N226" i="6"/>
  <c r="L226" i="6"/>
  <c r="N225" i="6"/>
  <c r="L225" i="6"/>
  <c r="N224" i="6"/>
  <c r="L224" i="6"/>
  <c r="N223" i="6"/>
  <c r="L223" i="6"/>
  <c r="N222" i="6"/>
  <c r="L222" i="6"/>
  <c r="N221" i="6"/>
  <c r="L221" i="6"/>
  <c r="N220" i="6"/>
  <c r="L220" i="6"/>
  <c r="N219" i="6"/>
  <c r="L219" i="6"/>
  <c r="N218" i="6"/>
  <c r="L218" i="6"/>
  <c r="N217" i="6"/>
  <c r="L217" i="6"/>
  <c r="N216" i="6"/>
  <c r="L216" i="6"/>
  <c r="N215" i="6"/>
  <c r="L215" i="6"/>
  <c r="N214" i="6"/>
  <c r="L214" i="6"/>
  <c r="N213" i="6"/>
  <c r="L213" i="6"/>
  <c r="N212" i="6"/>
  <c r="L212" i="6"/>
  <c r="N211" i="6"/>
  <c r="L211" i="6"/>
  <c r="N210" i="6"/>
  <c r="L210" i="6"/>
  <c r="N209" i="6"/>
  <c r="L209" i="6"/>
  <c r="N208" i="6"/>
  <c r="L208" i="6"/>
  <c r="N207" i="6"/>
  <c r="L207" i="6"/>
  <c r="N206" i="6"/>
  <c r="L206" i="6"/>
  <c r="N205" i="6"/>
  <c r="L205" i="6"/>
  <c r="N204" i="6"/>
  <c r="L204" i="6"/>
  <c r="N203" i="6"/>
  <c r="L203" i="6"/>
  <c r="N202" i="6"/>
  <c r="L202" i="6"/>
  <c r="N201" i="6"/>
  <c r="L201" i="6"/>
  <c r="N200" i="6"/>
  <c r="L200" i="6"/>
  <c r="N199" i="6"/>
  <c r="L199" i="6"/>
  <c r="N198" i="6"/>
  <c r="L198" i="6"/>
  <c r="N197" i="6"/>
  <c r="L197" i="6"/>
  <c r="N196" i="6"/>
  <c r="L196" i="6"/>
  <c r="N195" i="6"/>
  <c r="L195" i="6"/>
  <c r="N194" i="6"/>
  <c r="L194" i="6"/>
  <c r="N193" i="6"/>
  <c r="L193" i="6"/>
  <c r="N192" i="6"/>
  <c r="L192" i="6"/>
  <c r="N191" i="6"/>
  <c r="L191" i="6"/>
  <c r="N190" i="6"/>
  <c r="L190" i="6"/>
  <c r="N189" i="6"/>
  <c r="L189" i="6"/>
  <c r="N188" i="6"/>
  <c r="L188" i="6"/>
  <c r="N187" i="6"/>
  <c r="L187" i="6"/>
  <c r="N186" i="6"/>
  <c r="L186" i="6"/>
  <c r="N185" i="6"/>
  <c r="L185" i="6"/>
  <c r="N184" i="6"/>
  <c r="L184" i="6"/>
  <c r="N183" i="6"/>
  <c r="L183" i="6"/>
  <c r="N182" i="6"/>
  <c r="L182" i="6"/>
  <c r="N181" i="6"/>
  <c r="L181" i="6"/>
  <c r="N180" i="6"/>
  <c r="L180" i="6"/>
  <c r="N179" i="6"/>
  <c r="L179" i="6"/>
  <c r="N178" i="6"/>
  <c r="L178" i="6"/>
  <c r="N177" i="6"/>
  <c r="L177" i="6"/>
  <c r="N176" i="6"/>
  <c r="L176" i="6"/>
  <c r="N175" i="6"/>
  <c r="L175" i="6"/>
  <c r="N174" i="6"/>
  <c r="L174" i="6"/>
  <c r="N173" i="6"/>
  <c r="L173" i="6"/>
  <c r="N172" i="6"/>
  <c r="L172" i="6"/>
  <c r="N171" i="6"/>
  <c r="L171" i="6"/>
  <c r="N170" i="6"/>
  <c r="L170" i="6"/>
  <c r="N169" i="6"/>
  <c r="L169" i="6"/>
  <c r="N168" i="6"/>
  <c r="L168" i="6"/>
  <c r="N167" i="6"/>
  <c r="L167" i="6"/>
  <c r="N166" i="6"/>
  <c r="L166" i="6"/>
  <c r="N165" i="6"/>
  <c r="L165" i="6"/>
  <c r="N164" i="6"/>
  <c r="L164" i="6"/>
  <c r="N163" i="6"/>
  <c r="L163" i="6"/>
  <c r="N162" i="6"/>
  <c r="L162" i="6"/>
  <c r="N161" i="6"/>
  <c r="L161" i="6"/>
  <c r="N160" i="6"/>
  <c r="L160" i="6"/>
  <c r="N159" i="6"/>
  <c r="L159" i="6"/>
  <c r="N158" i="6"/>
  <c r="L158" i="6"/>
  <c r="N157" i="6"/>
  <c r="L157" i="6"/>
  <c r="N156" i="6"/>
  <c r="L156" i="6"/>
  <c r="N155" i="6"/>
  <c r="L155" i="6"/>
  <c r="N154" i="6"/>
  <c r="L154" i="6"/>
  <c r="N153" i="6"/>
  <c r="L153" i="6"/>
  <c r="N152" i="6"/>
  <c r="L152" i="6"/>
  <c r="N151" i="6"/>
  <c r="L151" i="6"/>
  <c r="N150" i="6"/>
  <c r="L150" i="6"/>
  <c r="N149" i="6"/>
  <c r="L149" i="6"/>
  <c r="N148" i="6"/>
  <c r="L148" i="6"/>
  <c r="N147" i="6"/>
  <c r="L147" i="6"/>
  <c r="N146" i="6"/>
  <c r="L146" i="6"/>
  <c r="N145" i="6"/>
  <c r="L145" i="6"/>
  <c r="N144" i="6"/>
  <c r="L144" i="6"/>
  <c r="N143" i="6"/>
  <c r="L143" i="6"/>
  <c r="N142" i="6"/>
  <c r="L142" i="6"/>
  <c r="N141" i="6"/>
  <c r="L141" i="6"/>
  <c r="N140" i="6"/>
  <c r="L140" i="6"/>
  <c r="N139" i="6"/>
  <c r="L139" i="6"/>
  <c r="N138" i="6"/>
  <c r="L138" i="6"/>
  <c r="N137" i="6"/>
  <c r="L137" i="6"/>
  <c r="N136" i="6"/>
  <c r="L136" i="6"/>
  <c r="N135" i="6"/>
  <c r="L135" i="6"/>
  <c r="N134" i="6"/>
  <c r="L134" i="6"/>
  <c r="N133" i="6"/>
  <c r="L133" i="6"/>
  <c r="N132" i="6"/>
  <c r="L132" i="6"/>
  <c r="N131" i="6"/>
  <c r="L131" i="6"/>
  <c r="N130" i="6"/>
  <c r="L130" i="6"/>
  <c r="N129" i="6"/>
  <c r="L129" i="6"/>
  <c r="N128" i="6"/>
  <c r="L128" i="6"/>
  <c r="N127" i="6"/>
  <c r="L127" i="6"/>
  <c r="N126" i="6"/>
  <c r="L126" i="6"/>
  <c r="N125" i="6"/>
  <c r="L125" i="6"/>
  <c r="N124" i="6"/>
  <c r="L124" i="6"/>
  <c r="N123" i="6"/>
  <c r="L123" i="6"/>
  <c r="N122" i="6"/>
  <c r="L122" i="6"/>
  <c r="N121" i="6"/>
  <c r="L121" i="6"/>
  <c r="N120" i="6"/>
  <c r="L120" i="6"/>
  <c r="N119" i="6"/>
  <c r="L119" i="6"/>
  <c r="N118" i="6"/>
  <c r="L118" i="6"/>
  <c r="N117" i="6"/>
  <c r="L117" i="6"/>
  <c r="N116" i="6"/>
  <c r="L116" i="6"/>
  <c r="N115" i="6"/>
  <c r="L115" i="6"/>
  <c r="N114" i="6"/>
  <c r="L114" i="6"/>
  <c r="N113" i="6"/>
  <c r="L113" i="6"/>
  <c r="N112" i="6"/>
  <c r="L112" i="6"/>
  <c r="N111" i="6"/>
  <c r="L111" i="6"/>
  <c r="N110" i="6"/>
  <c r="L110" i="6"/>
  <c r="N109" i="6"/>
  <c r="L109" i="6"/>
  <c r="N108" i="6"/>
  <c r="L108" i="6"/>
  <c r="N107" i="6"/>
  <c r="L107" i="6"/>
  <c r="N106" i="6"/>
  <c r="L106" i="6"/>
  <c r="N105" i="6"/>
  <c r="L105" i="6"/>
  <c r="N104" i="6"/>
  <c r="L104" i="6"/>
  <c r="N103" i="6"/>
  <c r="L103" i="6"/>
  <c r="N102" i="6"/>
  <c r="L102" i="6"/>
  <c r="N101" i="6"/>
  <c r="L101" i="6"/>
  <c r="N100" i="6"/>
  <c r="L100" i="6"/>
  <c r="N99" i="6"/>
  <c r="L99" i="6"/>
  <c r="N98" i="6"/>
  <c r="L98" i="6"/>
  <c r="N97" i="6"/>
  <c r="L97" i="6"/>
  <c r="N96" i="6"/>
  <c r="L96" i="6"/>
  <c r="N95" i="6"/>
  <c r="L95" i="6"/>
  <c r="N94" i="6"/>
  <c r="L94" i="6"/>
  <c r="N93" i="6"/>
  <c r="L93" i="6"/>
  <c r="N92" i="6"/>
  <c r="L92" i="6"/>
  <c r="N91" i="6"/>
  <c r="L91" i="6"/>
  <c r="N90" i="6"/>
  <c r="L90" i="6"/>
  <c r="N89" i="6"/>
  <c r="L89" i="6"/>
  <c r="N88" i="6"/>
  <c r="L88" i="6"/>
  <c r="N87" i="6"/>
  <c r="L87" i="6"/>
  <c r="N86" i="6"/>
  <c r="L86" i="6"/>
  <c r="N85" i="6"/>
  <c r="L85" i="6"/>
  <c r="N84" i="6"/>
  <c r="L84" i="6"/>
  <c r="N83" i="6"/>
  <c r="L83" i="6"/>
  <c r="N82" i="6"/>
  <c r="L82" i="6"/>
  <c r="N81" i="6"/>
  <c r="L81" i="6"/>
  <c r="N80" i="6"/>
  <c r="L80" i="6"/>
  <c r="N79" i="6"/>
  <c r="L79" i="6"/>
  <c r="N78" i="6"/>
  <c r="L78" i="6"/>
  <c r="N77" i="6"/>
  <c r="L77" i="6"/>
  <c r="N76" i="6"/>
  <c r="L76" i="6"/>
  <c r="N75" i="6"/>
  <c r="L75" i="6"/>
  <c r="N74" i="6"/>
  <c r="L74" i="6"/>
  <c r="N73" i="6"/>
  <c r="L73" i="6"/>
  <c r="N72" i="6"/>
  <c r="L72" i="6"/>
  <c r="N71" i="6"/>
  <c r="L71" i="6"/>
  <c r="N70" i="6"/>
  <c r="L70" i="6"/>
  <c r="N69" i="6"/>
  <c r="L69" i="6"/>
  <c r="N68" i="6"/>
  <c r="L68" i="6"/>
  <c r="N67" i="6"/>
  <c r="L67" i="6"/>
  <c r="N66" i="6"/>
  <c r="L66" i="6"/>
  <c r="N65" i="6"/>
  <c r="L65" i="6"/>
  <c r="N64" i="6"/>
  <c r="L64" i="6"/>
  <c r="N63" i="6"/>
  <c r="L63" i="6"/>
  <c r="N62" i="6"/>
  <c r="L62" i="6"/>
  <c r="N61" i="6"/>
  <c r="L61" i="6"/>
  <c r="N60" i="6"/>
  <c r="L60" i="6"/>
  <c r="N59" i="6"/>
  <c r="L59" i="6"/>
  <c r="N58" i="6"/>
  <c r="L58" i="6"/>
  <c r="N57" i="6"/>
  <c r="L57" i="6"/>
  <c r="N56" i="6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N37" i="6"/>
  <c r="L37" i="6"/>
  <c r="N36" i="6"/>
  <c r="L36" i="6"/>
  <c r="N35" i="6"/>
  <c r="L35" i="6"/>
  <c r="N34" i="6"/>
  <c r="L34" i="6"/>
  <c r="N33" i="6"/>
  <c r="L33" i="6"/>
  <c r="N32" i="6"/>
  <c r="L32" i="6"/>
  <c r="N31" i="6"/>
  <c r="L31" i="6"/>
  <c r="N30" i="6"/>
  <c r="L30" i="6"/>
  <c r="N29" i="6"/>
  <c r="L29" i="6"/>
  <c r="N28" i="6"/>
  <c r="L28" i="6"/>
  <c r="N27" i="6"/>
  <c r="L27" i="6"/>
  <c r="N26" i="6"/>
  <c r="L26" i="6"/>
  <c r="N25" i="6"/>
  <c r="L25" i="6"/>
  <c r="N24" i="6"/>
  <c r="L24" i="6"/>
  <c r="N23" i="6"/>
  <c r="L23" i="6"/>
  <c r="N22" i="6"/>
  <c r="L22" i="6"/>
  <c r="N21" i="6"/>
  <c r="L21" i="6"/>
  <c r="N20" i="6"/>
  <c r="L20" i="6"/>
  <c r="N19" i="6"/>
  <c r="L19" i="6"/>
  <c r="N18" i="6"/>
  <c r="L18" i="6"/>
  <c r="N17" i="6"/>
  <c r="L17" i="6"/>
  <c r="N16" i="6"/>
  <c r="L16" i="6"/>
  <c r="N15" i="6"/>
  <c r="L15" i="6"/>
  <c r="N14" i="6"/>
  <c r="L14" i="6"/>
  <c r="N13" i="6"/>
  <c r="L13" i="6"/>
  <c r="N12" i="6"/>
  <c r="L12" i="6"/>
  <c r="N11" i="6"/>
  <c r="L11" i="6"/>
  <c r="N10" i="6"/>
  <c r="L10" i="6"/>
  <c r="N9" i="6"/>
  <c r="L9" i="6"/>
  <c r="N8" i="6"/>
  <c r="L8" i="6"/>
  <c r="N7" i="6"/>
  <c r="L7" i="6"/>
  <c r="N6" i="6"/>
  <c r="L6" i="6"/>
  <c r="N5" i="6"/>
  <c r="L5" i="6"/>
  <c r="N4" i="6"/>
  <c r="L4" i="6"/>
  <c r="N3" i="6"/>
  <c r="L3" i="6"/>
  <c r="N2" i="6"/>
  <c r="L2" i="6"/>
  <c r="B18" i="1"/>
  <c r="L8" i="1"/>
  <c r="H8" i="1"/>
  <c r="G8" i="1"/>
  <c r="F8" i="1"/>
  <c r="E8" i="1"/>
  <c r="D8" i="1"/>
  <c r="C8" i="1"/>
  <c r="B8" i="1"/>
  <c r="I8" i="1" s="1"/>
  <c r="L7" i="1"/>
  <c r="H7" i="1"/>
  <c r="G7" i="1"/>
  <c r="F7" i="1"/>
  <c r="E7" i="1"/>
  <c r="D7" i="1"/>
  <c r="C7" i="1"/>
  <c r="B7" i="1"/>
  <c r="I7" i="1" s="1"/>
  <c r="L6" i="1"/>
  <c r="H6" i="1"/>
  <c r="G6" i="1"/>
  <c r="F6" i="1"/>
  <c r="E6" i="1"/>
  <c r="D6" i="1"/>
  <c r="C6" i="1"/>
  <c r="B6" i="1"/>
  <c r="I6" i="1" s="1"/>
  <c r="L5" i="1"/>
  <c r="H5" i="1"/>
  <c r="G5" i="1"/>
  <c r="F5" i="1"/>
  <c r="E5" i="1"/>
  <c r="D5" i="1"/>
  <c r="C5" i="1"/>
  <c r="B5" i="1"/>
  <c r="I5" i="1" s="1"/>
  <c r="L4" i="1"/>
  <c r="H4" i="1"/>
  <c r="G4" i="1"/>
  <c r="F4" i="1"/>
  <c r="E4" i="1"/>
  <c r="D4" i="1"/>
  <c r="C4" i="1"/>
  <c r="B4" i="1"/>
  <c r="I4" i="1" s="1"/>
  <c r="K4" i="1" s="1"/>
  <c r="B16" i="1" l="1"/>
  <c r="B17" i="1"/>
  <c r="K7" i="1"/>
  <c r="K6" i="1"/>
  <c r="K5" i="1"/>
  <c r="K8" i="1"/>
</calcChain>
</file>

<file path=xl/sharedStrings.xml><?xml version="1.0" encoding="utf-8"?>
<sst xmlns="http://schemas.openxmlformats.org/spreadsheetml/2006/main" count="1407" uniqueCount="343">
  <si>
    <t>AMCE HIS Vendor Evaluation – Executive Dashboard</t>
  </si>
  <si>
    <t>Vendor</t>
  </si>
  <si>
    <t>Nursing Services</t>
  </si>
  <si>
    <t>Oncology Services</t>
  </si>
  <si>
    <t>Cardiovascular Services</t>
  </si>
  <si>
    <t>Laboratory Services and Blood Bank</t>
  </si>
  <si>
    <t>Radiology and Nuclear Medicine</t>
  </si>
  <si>
    <t>General Medical &amp; Surgical Services, and Pharmacy</t>
  </si>
  <si>
    <t>ERP/RCM/Finance &amp; Procurement</t>
  </si>
  <si>
    <t>Overall</t>
  </si>
  <si>
    <t>Rank</t>
  </si>
  <si>
    <t>Evaluator Entries</t>
  </si>
  <si>
    <t>ezCareTech</t>
  </si>
  <si>
    <t>ESI</t>
  </si>
  <si>
    <t>SRIT</t>
  </si>
  <si>
    <t>MEDITECH</t>
  </si>
  <si>
    <t>KRANIUM</t>
  </si>
  <si>
    <t>Interpretation</t>
  </si>
  <si>
    <t>Overall score is out of 5. Group scores are derived from criterion weighted scores in Responses and then multiplied by the source workbook's group weights.</t>
  </si>
  <si>
    <t>Governance checks</t>
  </si>
  <si>
    <t>Wrong-vendor response rows</t>
  </si>
  <si>
    <t>Valid response rows</t>
  </si>
  <si>
    <t>Rows with date but no validity result</t>
  </si>
  <si>
    <t>AMCE HIS Vendor Evaluation – 7-Group Forms Prototype</t>
  </si>
  <si>
    <t>Purpose</t>
  </si>
  <si>
    <t>Seven group-specific digital-form prototypes with evaluator lookup, automatic designation/department, automatic vendor-by-date assignment, weighted scoring, multi-entry support, and an executive dashboard.</t>
  </si>
  <si>
    <t>Important implementation note</t>
  </si>
  <si>
    <t>For strict Microsoft Forms enforcement of the vendor-per-day rule, Forms alone cannot dynamically change vendor choices based on today's date. The recommended production implementation is Power Apps + SharePoint/Dataverse + Power Automate. This workbook prototypes that logic and the scoring/dashboard model.</t>
  </si>
  <si>
    <t>1. Populate Evaluator Master with approved evaluator names, designations and departments.</t>
  </si>
  <si>
    <t>2. Open the relevant Form sheet. Select Evaluator Name and Evaluation Date; Vendor, Designation and Department populate automatically.</t>
  </si>
  <si>
    <t>3. Score every criterion from 1–5 and add evidence/notes.</t>
  </si>
  <si>
    <t>4. Use a new Submission ID for each evaluator/submission. Responses is the normalized master data model for Power Apps/Power Automate/Power BI.</t>
  </si>
  <si>
    <t>5. Dashboard applies the source group weights: Nursing 15%, Oncology 15%, Cardiology 15%, Lab 15%, Radiology 12%, GenMed/Surg/Pharm 15%, ERP/RCM/Finance 13%.</t>
  </si>
  <si>
    <t>Evaluator Name</t>
  </si>
  <si>
    <t>Designation</t>
  </si>
  <si>
    <t>Department</t>
  </si>
  <si>
    <t>Active</t>
  </si>
  <si>
    <t>Evaluator 01</t>
  </si>
  <si>
    <t>ENTER DESIGNATION</t>
  </si>
  <si>
    <t>ENTER DEPARTMENT</t>
  </si>
  <si>
    <t>Yes</t>
  </si>
  <si>
    <t>Evaluator 02</t>
  </si>
  <si>
    <t>Evaluator 03</t>
  </si>
  <si>
    <t>Evaluator 04</t>
  </si>
  <si>
    <t>Evaluator 05</t>
  </si>
  <si>
    <t>Evaluator 06</t>
  </si>
  <si>
    <t>Evaluator 07</t>
  </si>
  <si>
    <t>Evaluator 08</t>
  </si>
  <si>
    <t>Evaluator 09</t>
  </si>
  <si>
    <t>Evaluator 10</t>
  </si>
  <si>
    <t>Evaluator 11</t>
  </si>
  <si>
    <t>Evaluator 12</t>
  </si>
  <si>
    <t>Evaluator 13</t>
  </si>
  <si>
    <t>Evaluator 14</t>
  </si>
  <si>
    <t>Evaluator 15</t>
  </si>
  <si>
    <t>Evaluator 16</t>
  </si>
  <si>
    <t>Evaluator 17</t>
  </si>
  <si>
    <t>Evaluator 18</t>
  </si>
  <si>
    <t>Evaluator 19</t>
  </si>
  <si>
    <t>Evaluator 20</t>
  </si>
  <si>
    <t>Evaluation Date</t>
  </si>
  <si>
    <t>Day</t>
  </si>
  <si>
    <t>Status</t>
  </si>
  <si>
    <t>Day 1</t>
  </si>
  <si>
    <t>Open</t>
  </si>
  <si>
    <t>Day 2</t>
  </si>
  <si>
    <t>Day 3</t>
  </si>
  <si>
    <t>Day 4</t>
  </si>
  <si>
    <t>Day 5</t>
  </si>
  <si>
    <t>Group</t>
  </si>
  <si>
    <t>Criterion</t>
  </si>
  <si>
    <t>Weight %</t>
  </si>
  <si>
    <t>Demo Prompt</t>
  </si>
  <si>
    <t>Clinical documentation</t>
  </si>
  <si>
    <t>Show a nurse completing a full shift assessment and vitals in under 3 taps/clicks, with mandatory fields enforced — not free text.</t>
  </si>
  <si>
    <t>Medication administration (drugs and infusion)</t>
  </si>
  <si>
    <t>Demonstrate barcode/eMAR closed-loop administration: scan patient, scan drug, and show the system block a wrong-dose or wrong-patient attempt in real time.</t>
  </si>
  <si>
    <t>Care plans</t>
  </si>
  <si>
    <t>Show a nursing care plan auto-suggested from the patient's diagnosis/risk score, editable by the nurse, and visible to the wider care team.</t>
  </si>
  <si>
    <t>Orders</t>
  </si>
  <si>
    <t>Show a nurse receiving, acknowledging and actioning a physician order (e.g. new IV) with a visible audit trail of who did what, when.</t>
  </si>
  <si>
    <t>Alerts/notifications</t>
  </si>
  <si>
    <t>Trigger a critical alert (e.g. abnormal vital sign or allergy conflict) and show exactly how and where it reaches the nurse.</t>
  </si>
  <si>
    <t>Patient records</t>
  </si>
  <si>
    <t>Pull one patient's full nursing record across two different encounters/wards in under 10 seconds.</t>
  </si>
  <si>
    <t>Usability</t>
  </si>
  <si>
    <t>Have a nurse who has never seen the system complete one full documentation task live, timed, with zero vendor prompting.</t>
  </si>
  <si>
    <t>Patient journey</t>
  </si>
  <si>
    <t>Trace one oncology patient from first referral through diagnosis, staging and treatment start in a single continuous view.</t>
  </si>
  <si>
    <t>Treatment planning</t>
  </si>
  <si>
    <t>Show a multidisciplinary tumour-board treatment plan being created, reviewed and signed off by more than one clinician role.</t>
  </si>
  <si>
    <t>Chemotherapy workflows and protocols</t>
  </si>
  <si>
    <t>Demonstrate a protocol-driven chemo order with automatic dose calculation (e.g. BSA-based) and a hard stop on an out-of-range dose.</t>
  </si>
  <si>
    <t>Medication/order management</t>
  </si>
  <si>
    <t>Show the verification chain for a chemotherapy order — pharmacist check, nurse check — before the drug can be administered.</t>
  </si>
  <si>
    <t>Documentation and follow-up</t>
  </si>
  <si>
    <t>Show how a missed follow-up or overdue treatment cycle is flagged automatically, not manually tracked.</t>
  </si>
  <si>
    <t>Show a cardiology consult note structured enough to auto-populate a discharge summary.</t>
  </si>
  <si>
    <t>Investigations</t>
  </si>
  <si>
    <t>Order an ECG/Echo and show the result flow back into the same chart, not a separate silo.</t>
  </si>
  <si>
    <t>Show a cardiology order set (e.g. pre-cath workup) triggered as one bundle, not entered item by item.</t>
  </si>
  <si>
    <t>Procedures/surgeries</t>
  </si>
  <si>
    <t>Show a cath-lab procedure note capturing device/stent details in structured, reportable fields.</t>
  </si>
  <si>
    <t>Results and follow-up</t>
  </si>
  <si>
    <t>Show an abnormal result (e.g. critical troponin) triggering an immediate, trackable alert to the responsible clinician.</t>
  </si>
  <si>
    <t>Integration with cardiac monitors</t>
  </si>
  <si>
    <t>Demonstrate a live or simulated feed from a cardiac monitor populating vitals directly into the record, with no manual re-entry. Confirm experience and capabilities to integrate.</t>
  </si>
  <si>
    <t>Test ordering</t>
  </si>
  <si>
    <t>Order a panel from the physician side and show it appear on the lab worklist within seconds.</t>
  </si>
  <si>
    <t>Specimen collection</t>
  </si>
  <si>
    <t>Show barcode-based specimen labelling and collection confirmation tied to the original order — no manual matching.</t>
  </si>
  <si>
    <t>Processing</t>
  </si>
  <si>
    <t>Show a specimen's status (received/in-process/complete) visible in real time to both lab and requesting clinician.</t>
  </si>
  <si>
    <t>Validation</t>
  </si>
  <si>
    <t>Show an out-of-range critical result being held for validation before it releases to the chart.</t>
  </si>
  <si>
    <t>Reporting</t>
  </si>
  <si>
    <t>Generate a final lab report and show it land directly in the patient's chart, formatted, not as a scanned PDF.
Also, indicate functionality(ies) for template configuration, creation and modification.
Show laboratory activities reporting including TAT, critical values, etc.</t>
  </si>
  <si>
    <t>LIS functionality and interoperability</t>
  </si>
  <si>
    <t>Show a bidirectional interface test: order goes out, result comes back, with no manual re-keying.</t>
  </si>
  <si>
    <t>Integration with lab equipment</t>
  </si>
  <si>
    <t>Show at least one analyzer interface live — order-to-instrument and instrument-to-result. Also, present a list of analyzers experienced or integrated.</t>
  </si>
  <si>
    <t>B2B</t>
  </si>
  <si>
    <t>Show how an external/referral lab's order is processed or result is ingested and reconciled against an AMCE order.</t>
  </si>
  <si>
    <t>Blood Bank</t>
  </si>
  <si>
    <t>Show the full blood-product chain: type &amp; crossmatch, unit reservation, bedside two-person verification before transfusion.</t>
  </si>
  <si>
    <t>Investigation ordering</t>
  </si>
  <si>
    <t>Order an imaging study with clinical indication captured as structured data, not free text.</t>
  </si>
  <si>
    <t>Show a radiologist dictating/finalising a report and it appearing in the ordering clinician's queue immediately.</t>
  </si>
  <si>
    <t>Integration with RIS and PACS</t>
  </si>
  <si>
    <t>Display integration capabilities and experiences. Show images and the report opening from a single click inside the same patient chart.</t>
  </si>
  <si>
    <t>B2B/Referrals</t>
  </si>
  <si>
    <t>Show an external referral imaging study/report being received and matched to the correct AMCE patient record.</t>
  </si>
  <si>
    <t>Show a full admission note built from structured templates, not a blank text box.</t>
  </si>
  <si>
    <t>Order labs/imaging from the same encounter and show results return to one unified timeline.</t>
  </si>
  <si>
    <t>Orders (incl. order sets &amp; packages)</t>
  </si>
  <si>
    <t>Trigger a pre-built order set (e.g. sepsis or pre-op bundle and wellness package) as a single action.</t>
  </si>
  <si>
    <t>Show the surgical safety checklist/time-out captured as a discrete, un-skippable step, not a note.</t>
  </si>
  <si>
    <t>Show an abnormal post-op result routed automatically to the responsible surgical team.</t>
  </si>
  <si>
    <t>Emergency workflow</t>
  </si>
  <si>
    <t>Show a patient triaged and moved from ED registration to first clinical action, timestamped end to end.</t>
  </si>
  <si>
    <t>Prescription order, dispensing, reconciliation and reporting (incl. ADR, AMR, ABR, MDR)</t>
  </si>
  <si>
    <t>Show a prescription flow from order to pharmacy dispense to bedside administration and reconciliation plus one live example each of ADR and AMR flagging/reporting.</t>
  </si>
  <si>
    <t>Patient Applications features and synchronization</t>
  </si>
  <si>
    <t>Show a patient viewing their own results/appointments on the patient app, synced live with the clinical record.</t>
  </si>
  <si>
    <t>Physician/Nursing Mobile Applications</t>
  </si>
  <si>
    <t>Show a physician acting on an alert or order from a mobile device, not just viewing read-only data.</t>
  </si>
  <si>
    <t>AI integrations</t>
  </si>
  <si>
    <t>Show one live AI-assisted feature (e.g. investigation report/image review, documentation support, risk scoring, or triage) and its human-in-the-loop override.</t>
  </si>
  <si>
    <t>Billing</t>
  </si>
  <si>
    <t>Generate a patient bill directly from clinical charges captured at point of care — no manual re-entry. Confirm auto-release for setup option (for e.g. emergency, inpatient)</t>
  </si>
  <si>
    <t>ERP integration</t>
  </si>
  <si>
    <t>Show a clinical order (e.g. a drug dispense) automatically consuming inventory and hitting the general ledger in SAP. Exhibit profit centre distribution capabilities or show available/alternative integration capabilities.</t>
  </si>
  <si>
    <t>Revenue cycle/package management</t>
  </si>
  <si>
    <t>Show a bundled care package (e.g. a surgical package) priced and billed as one unit, with itemised detail available. How do you manage packages and order sets?</t>
  </si>
  <si>
    <t>Procurement workflow</t>
  </si>
  <si>
    <t>Show a purchase requisition-to-PO-to-goods-receipt cycle with approval routing enforced, not bypassable or show available/alternative integration capabilities.</t>
  </si>
  <si>
    <t>Inventory workflow</t>
  </si>
  <si>
    <t>Show real-time stock visibility for a critical item and an automatic reorder trigger at a defined threshold or show available/alternative integration capabilities.</t>
  </si>
  <si>
    <t>Finance workflow</t>
  </si>
  <si>
    <t>Show a month-end close task (e.g. reconciliation) with a clear audit trail of who approved what or show available/alternative integration capabilities.</t>
  </si>
  <si>
    <t>Billing/revenue-cycle integration</t>
  </si>
  <si>
    <t>Show insurance/NHIA claim data flowing from the clinical encounter into a claim submission without duplicate entry or show available/alternative integration capabilities.</t>
  </si>
  <si>
    <t>Pull one live financial or procurement report on demand, not a static export someone has to build offline or show available/alternative integration capabilities.</t>
  </si>
  <si>
    <t>SAP integration</t>
  </si>
  <si>
    <t>Confirm and show, live, the specific SAP S/4HANA Public Cloud modules you've integrated with, not on a roadmap or show available/alternative integration capabilities.</t>
  </si>
  <si>
    <t>Submission ID</t>
  </si>
  <si>
    <t>Timestamp</t>
  </si>
  <si>
    <t>Score (1-5)</t>
  </si>
  <si>
    <t>Weighted Score</t>
  </si>
  <si>
    <t>Evidence / Notes</t>
  </si>
  <si>
    <t>Valid Session?</t>
  </si>
  <si>
    <t>AMCE HIS Vendor Evaluation Form – Nursing Services</t>
  </si>
  <si>
    <t>SUB-001</t>
  </si>
  <si>
    <t>Vendor (AUTO)</t>
  </si>
  <si>
    <t>Designation (AUTO)</t>
  </si>
  <si>
    <t>Department (AUTO)</t>
  </si>
  <si>
    <t>User Group</t>
  </si>
  <si>
    <t>Group Weight</t>
  </si>
  <si>
    <t>Submission Status</t>
  </si>
  <si>
    <t>#</t>
  </si>
  <si>
    <t>TOTAL WEIGHTED GROUP SCORE (out of 5)</t>
  </si>
  <si>
    <t>Multiple submissions:</t>
  </si>
  <si>
    <t>Use a new Submission ID for each evaluator/submission. Production should write each criterion response to the normalized Responses table.</t>
  </si>
  <si>
    <t>AMCE HIS Vendor Evaluation Form – Oncology Services</t>
  </si>
  <si>
    <t>AMCE HIS Vendor Evaluation Form – Cardiovascular Services</t>
  </si>
  <si>
    <t>AMCE HIS Vendor Evaluation Form – Laboratory Services and Blood Bank</t>
  </si>
  <si>
    <t>AMCE HIS Vendor Evaluation Form – Radiology and Nuclear Medicine</t>
  </si>
  <si>
    <t>AMCE HIS Vendor Evaluation Form – General Medical &amp; Surgical Services, and Pharmacy</t>
  </si>
  <si>
    <t>AMCE HIS Vendor Evaluation Form – ERP/RCM/Finance &amp; Procurement</t>
  </si>
  <si>
    <t>Form</t>
  </si>
  <si>
    <t>Field / Question</t>
  </si>
  <si>
    <t>Type</t>
  </si>
  <si>
    <t>Required</t>
  </si>
  <si>
    <t>Source / Logic</t>
  </si>
  <si>
    <t>Implementation Note</t>
  </si>
  <si>
    <t>Form 1 – Nursing Services</t>
  </si>
  <si>
    <t>Choice/Dropdown</t>
  </si>
  <si>
    <t>Evaluator Master</t>
  </si>
  <si>
    <t>Lookup designation + department</t>
  </si>
  <si>
    <t>Choice/Date</t>
  </si>
  <si>
    <t>Master Calendar</t>
  </si>
  <si>
    <t>Production: show only today's scheduled date</t>
  </si>
  <si>
    <t>Read-only / hidden</t>
  </si>
  <si>
    <t>Evaluation Date → Vendor</t>
  </si>
  <si>
    <t>Never allow manual vendor selection in production</t>
  </si>
  <si>
    <t>Read-only</t>
  </si>
  <si>
    <t>Evaluator Name → Designation</t>
  </si>
  <si>
    <t>Auto-populated</t>
  </si>
  <si>
    <t>Evaluator Name → Department</t>
  </si>
  <si>
    <t>Clinical documentation – Score</t>
  </si>
  <si>
    <t>Choice 1–5</t>
  </si>
  <si>
    <t>Fixed scoring scale</t>
  </si>
  <si>
    <t>Weight 15.0%</t>
  </si>
  <si>
    <t>Clinical documentation – Evidence / Notes</t>
  </si>
  <si>
    <t>Long text</t>
  </si>
  <si>
    <t>Recommended</t>
  </si>
  <si>
    <t>Evaluator entry</t>
  </si>
  <si>
    <t>Use for audit evidence</t>
  </si>
  <si>
    <t>Medication administration (drugs and infusion) – Score</t>
  </si>
  <si>
    <t>Medication administration (drugs and infusion) – Evidence / Notes</t>
  </si>
  <si>
    <t>Care plans – Score</t>
  </si>
  <si>
    <t>Weight 14.0%</t>
  </si>
  <si>
    <t>Care plans – Evidence / Notes</t>
  </si>
  <si>
    <t>Orders – Score</t>
  </si>
  <si>
    <t>Orders – Evidence / Notes</t>
  </si>
  <si>
    <t>Alerts/notifications – Score</t>
  </si>
  <si>
    <t>Alerts/notifications – Evidence / Notes</t>
  </si>
  <si>
    <t>Patient records – Score</t>
  </si>
  <si>
    <t>Patient records – Evidence / Notes</t>
  </si>
  <si>
    <t>Usability – Score</t>
  </si>
  <si>
    <t>Usability – Evidence / Notes</t>
  </si>
  <si>
    <t>Form 2 – Oncology Services</t>
  </si>
  <si>
    <t>Patient journey – Score</t>
  </si>
  <si>
    <t>Weight 20.0%</t>
  </si>
  <si>
    <t>Patient journey – Evidence / Notes</t>
  </si>
  <si>
    <t>Treatment planning – Score</t>
  </si>
  <si>
    <t>Treatment planning – Evidence / Notes</t>
  </si>
  <si>
    <t>Chemotherapy workflows and protocols – Score</t>
  </si>
  <si>
    <t>Chemotherapy workflows and protocols – Evidence / Notes</t>
  </si>
  <si>
    <t>Medication/order management – Score</t>
  </si>
  <si>
    <t>Medication/order management – Evidence / Notes</t>
  </si>
  <si>
    <t>Documentation and follow-up – Score</t>
  </si>
  <si>
    <t>Documentation and follow-up – Evidence / Notes</t>
  </si>
  <si>
    <t>Form 3 – Cardiovascular Services</t>
  </si>
  <si>
    <t>Investigations – Score</t>
  </si>
  <si>
    <t>Investigations – Evidence / Notes</t>
  </si>
  <si>
    <t>Weight 10.0%</t>
  </si>
  <si>
    <t>Procedures/surgeries – Score</t>
  </si>
  <si>
    <t>Procedures/surgeries – Evidence / Notes</t>
  </si>
  <si>
    <t>Results and follow-up – Score</t>
  </si>
  <si>
    <t>Results and follow-up – Evidence / Notes</t>
  </si>
  <si>
    <t>Integration with cardiac monitors – Score</t>
  </si>
  <si>
    <t>Integration with cardiac monitors – Evidence / Notes</t>
  </si>
  <si>
    <t>Form 4 – Laboratory Services and Blood Bank</t>
  </si>
  <si>
    <t>Test ordering – Score</t>
  </si>
  <si>
    <t>Test ordering – Evidence / Notes</t>
  </si>
  <si>
    <t>Specimen collection – Score</t>
  </si>
  <si>
    <t>Specimen collection – Evidence / Notes</t>
  </si>
  <si>
    <t>Processing – Score</t>
  </si>
  <si>
    <t>Processing – Evidence / Notes</t>
  </si>
  <si>
    <t>Validation – Score</t>
  </si>
  <si>
    <t>Validation – Evidence / Notes</t>
  </si>
  <si>
    <t>Reporting – Score</t>
  </si>
  <si>
    <t>Reporting – Evidence / Notes</t>
  </si>
  <si>
    <t>LIS functionality and interoperability – Score</t>
  </si>
  <si>
    <t>LIS functionality and interoperability – Evidence / Notes</t>
  </si>
  <si>
    <t>Integration with lab equipment – Score</t>
  </si>
  <si>
    <t>Integration with lab equipment – Evidence / Notes</t>
  </si>
  <si>
    <t>B2B – Score</t>
  </si>
  <si>
    <t>B2B – Evidence / Notes</t>
  </si>
  <si>
    <t>Blood Bank – Score</t>
  </si>
  <si>
    <t>Blood Bank – Evidence / Notes</t>
  </si>
  <si>
    <t>Form 5 – Radiology and Nuclear Medicine</t>
  </si>
  <si>
    <t>Investigation ordering – Score</t>
  </si>
  <si>
    <t>Weight 25.0%</t>
  </si>
  <si>
    <t>Investigation ordering – Evidence / Notes</t>
  </si>
  <si>
    <t>Integration with RIS and PACS – Score</t>
  </si>
  <si>
    <t>Integration with RIS and PACS – Evidence / Notes</t>
  </si>
  <si>
    <t>B2B/Referrals – Score</t>
  </si>
  <si>
    <t>B2B/Referrals – Evidence / Notes</t>
  </si>
  <si>
    <t>Form 6 – General Medical &amp; Surgical Services, and Pharmacy</t>
  </si>
  <si>
    <t>Orders (incl. order sets &amp; packages) – Score</t>
  </si>
  <si>
    <t>Orders (incl. order sets &amp; packages) – Evidence / Notes</t>
  </si>
  <si>
    <t>Emergency workflow – Score</t>
  </si>
  <si>
    <t>Emergency workflow – Evidence / Notes</t>
  </si>
  <si>
    <t>Prescription order, dispensing, reconciliation and reporting (incl. ADR, AMR, ABR, MDR) – Score</t>
  </si>
  <si>
    <t>Prescription order, dispensing, reconciliation and reporting (incl. ADR, AMR, ABR, MDR) – Evidence / Notes</t>
  </si>
  <si>
    <t>Patient Applications features and synchronization – Score</t>
  </si>
  <si>
    <t>Patient Applications features and synchronization – Evidence / Notes</t>
  </si>
  <si>
    <t>Physician/Nursing Mobile Applications – Score</t>
  </si>
  <si>
    <t>Physician/Nursing Mobile Applications – Evidence / Notes</t>
  </si>
  <si>
    <t>AI integrations – Score</t>
  </si>
  <si>
    <t>AI integrations – Evidence / Notes</t>
  </si>
  <si>
    <t>Form 7 – ERP/RCM/Finance &amp; Procurement</t>
  </si>
  <si>
    <t>Billing – Score</t>
  </si>
  <si>
    <t>Billing – Evidence / Notes</t>
  </si>
  <si>
    <t>ERP integration – Score</t>
  </si>
  <si>
    <t>ERP integration – Evidence / Notes</t>
  </si>
  <si>
    <t>Revenue cycle/package management – Score</t>
  </si>
  <si>
    <t>Revenue cycle/package management – Evidence / Notes</t>
  </si>
  <si>
    <t>Procurement workflow – Score</t>
  </si>
  <si>
    <t>Procurement workflow – Evidence / Notes</t>
  </si>
  <si>
    <t>Inventory workflow – Score</t>
  </si>
  <si>
    <t>Inventory workflow – Evidence / Notes</t>
  </si>
  <si>
    <t>Finance workflow – Score</t>
  </si>
  <si>
    <t>Finance workflow – Evidence / Notes</t>
  </si>
  <si>
    <t>Billing/revenue-cycle integration – Score</t>
  </si>
  <si>
    <t>Billing/revenue-cycle integration – Evidence / Notes</t>
  </si>
  <si>
    <t>SAP integration – Score</t>
  </si>
  <si>
    <t>SAP integration – Evidence / Notes</t>
  </si>
  <si>
    <t>Control</t>
  </si>
  <si>
    <t>Recommended implementation</t>
  </si>
  <si>
    <t>Outcome</t>
  </si>
  <si>
    <t>Evaluator lookup</t>
  </si>
  <si>
    <t>Power Apps/SharePoint lookup by user/email or approved name list</t>
  </si>
  <si>
    <t>Designation + Department auto-populate</t>
  </si>
  <si>
    <t>Vendor-by-day</t>
  </si>
  <si>
    <t>Filter schedule to Today(); expose vendor as read-only</t>
  </si>
  <si>
    <t>Wrong vendor cannot be selected</t>
  </si>
  <si>
    <t>Date restriction</t>
  </si>
  <si>
    <t>Reject if Today() has no scheduled demo</t>
  </si>
  <si>
    <t>No unscheduled scoring</t>
  </si>
  <si>
    <t>Score validation</t>
  </si>
  <si>
    <t>Required 1–5 choices for every criterion</t>
  </si>
  <si>
    <t>No invalid/missing scores</t>
  </si>
  <si>
    <t>Weighted scoring</t>
  </si>
  <si>
    <t>Score × Weight / 100</t>
  </si>
  <si>
    <t>Criterion weights always respected</t>
  </si>
  <si>
    <t>Group score</t>
  </si>
  <si>
    <t>Average weighted group score across valid submissions</t>
  </si>
  <si>
    <t>Group score remains out of 5</t>
  </si>
  <si>
    <t>Overall score</t>
  </si>
  <si>
    <t>SUM(Group Score × Group Weight) / 100</t>
  </si>
  <si>
    <t>Comparable vendor ranking</t>
  </si>
  <si>
    <t>Duplicate protection</t>
  </si>
  <si>
    <t>Unique key: Date + Vendor + Group + Evaluator + Submission ID</t>
  </si>
  <si>
    <t>Controls accidental duplicate submissions</t>
  </si>
  <si>
    <t>Audit</t>
  </si>
  <si>
    <t>Created by, created time, modified time</t>
  </si>
  <si>
    <t>Traceability</t>
  </si>
  <si>
    <t>Dashboard</t>
  </si>
  <si>
    <t>Power BI/Excel over normalized Responses</t>
  </si>
  <si>
    <t>Live ranking + heatmap + drill-down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</si>
</sst>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name val="Calibri"/>
    </font>
    <font>
      <b/>
      <sz val="11"/>
      <color rgb="FF9C0006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0" fillId="0" borderId="0" xfId="0" applyNumberFormat="1"/>
    <xf numFmtId="0" fontId="6" fillId="3" borderId="0" xfId="0" applyFont="1" applyFill="1"/>
    <xf numFmtId="0" fontId="0" fillId="0" borderId="1" xfId="0" applyBorder="1" applyAlignment="1">
      <alignment vertical="top" wrapText="1"/>
    </xf>
    <xf numFmtId="0" fontId="6" fillId="0" borderId="0" xfId="0" applyFont="1"/>
    <xf numFmtId="0" fontId="0" fillId="0" borderId="0" xfId="0"/>
    <xf numFmtId="0" fontId="1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Overall Vendor Score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Dashboard!$I$3</c:f>
              <c:strCache>
                <c:ptCount val="1"/>
                <c:pt idx="0">
                  <c:v>Overall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Dashboard!$A$4:$A$8</c:f>
              <c:strCache>
                <c:ptCount val="5"/>
                <c:pt idx="0">
                  <c:v>ezCareTech</c:v>
                </c:pt>
                <c:pt idx="1">
                  <c:v>ESI</c:v>
                </c:pt>
                <c:pt idx="2">
                  <c:v>SRIT</c:v>
                </c:pt>
                <c:pt idx="3">
                  <c:v>MEDITECH</c:v>
                </c:pt>
                <c:pt idx="4">
                  <c:v>KRANIUM</c:v>
                </c:pt>
              </c:strCache>
            </c:strRef>
          </c:cat>
          <c:val>
            <c:numRef>
              <c:f>Dashboard!$I$4:$I$8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7-485F-B0BD-5FD8851E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 / 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Vendor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orMaster" displayName="EvaluatorMaster" ref="A1:D21">
  <autoFilter ref="A1:D21" xr:uid="{00000000-0009-0000-0100-000001000000}"/>
  <tableColumns count="4">
    <tableColumn id="1" xr3:uid="{00000000-0010-0000-0000-000001000000}" name="Evaluator Name"/>
    <tableColumn id="2" xr3:uid="{00000000-0010-0000-0000-000002000000}" name="Designation"/>
    <tableColumn id="3" xr3:uid="{00000000-0010-0000-0000-000003000000}" name="Department"/>
    <tableColumn id="4" xr3:uid="{00000000-0010-0000-0000-000004000000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ponsesTable" displayName="ResponsesTable" ref="A1:N701">
  <autoFilter ref="A1:N701" xr:uid="{00000000-0009-0000-0100-000002000000}"/>
  <tableColumns count="14">
    <tableColumn id="1" xr3:uid="{00000000-0010-0000-0100-000001000000}" name="Submission ID"/>
    <tableColumn id="2" xr3:uid="{00000000-0010-0000-0100-000002000000}" name="Timestamp"/>
    <tableColumn id="3" xr3:uid="{00000000-0010-0000-0100-000003000000}" name="Evaluation Date"/>
    <tableColumn id="4" xr3:uid="{00000000-0010-0000-0100-000004000000}" name="Vendor"/>
    <tableColumn id="5" xr3:uid="{00000000-0010-0000-0100-000005000000}" name="Group"/>
    <tableColumn id="6" xr3:uid="{00000000-0010-0000-0100-000006000000}" name="Evaluator Name"/>
    <tableColumn id="7" xr3:uid="{00000000-0010-0000-0100-000007000000}" name="Designation"/>
    <tableColumn id="8" xr3:uid="{00000000-0010-0000-0100-000008000000}" name="Department"/>
    <tableColumn id="9" xr3:uid="{00000000-0010-0000-0100-000009000000}" name="Criterion"/>
    <tableColumn id="10" xr3:uid="{00000000-0010-0000-0100-00000A000000}" name="Weight %"/>
    <tableColumn id="11" xr3:uid="{00000000-0010-0000-0100-00000B000000}" name="Score (1-5)"/>
    <tableColumn id="12" xr3:uid="{00000000-0010-0000-0100-00000C000000}" name="Weighted Score"/>
    <tableColumn id="13" xr3:uid="{00000000-0010-0000-0100-00000D000000}" name="Evidence / Notes"/>
    <tableColumn id="14" xr3:uid="{00000000-0010-0000-0100-00000E000000}" name="Valid Session?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34" customWidth="1"/>
    <col min="2" max="4" width="15" customWidth="1"/>
    <col min="5" max="6" width="18" customWidth="1"/>
    <col min="7" max="8" width="24" customWidth="1"/>
    <col min="9" max="9" width="14" customWidth="1"/>
    <col min="10" max="10" width="4" customWidth="1"/>
    <col min="11" max="11" width="10" customWidth="1"/>
    <col min="12" max="12" width="18" customWidth="1"/>
  </cols>
  <sheetData>
    <row r="1" spans="1:12" ht="23.25" x14ac:dyDescent="0.3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/>
      <c r="K3" s="1" t="s">
        <v>10</v>
      </c>
      <c r="L3" s="1" t="s">
        <v>11</v>
      </c>
    </row>
    <row r="4" spans="1:12" x14ac:dyDescent="0.25">
      <c r="A4" t="s">
        <v>12</v>
      </c>
      <c r="B4">
        <f>IFERROR(SUMIFS(Responses!$L:$L,Responses!$D:$D,$A4,Responses!$E:$E,B$3)/(COUNTIFS(Responses!$D:$D,$A4,Responses!$E:$E,B$3)/7),0)</f>
        <v>0</v>
      </c>
      <c r="C4">
        <f>IFERROR(SUMIFS(Responses!$L:$L,Responses!$D:$D,$A4,Responses!$E:$E,C$3)/(COUNTIFS(Responses!$D:$D,$A4,Responses!$E:$E,C$3)/5),0)</f>
        <v>0</v>
      </c>
      <c r="D4">
        <f>IFERROR(SUMIFS(Responses!$L:$L,Responses!$D:$D,$A4,Responses!$E:$E,D$3)/(COUNTIFS(Responses!$D:$D,$A4,Responses!$E:$E,D$3)/6),0)</f>
        <v>0</v>
      </c>
      <c r="E4">
        <f>IFERROR(SUMIFS(Responses!$L:$L,Responses!$D:$D,$A4,Responses!$E:$E,E$3)/(COUNTIFS(Responses!$D:$D,$A4,Responses!$E:$E,E$3)/9),0)</f>
        <v>0</v>
      </c>
      <c r="F4">
        <f>IFERROR(SUMIFS(Responses!$L:$L,Responses!$D:$D,$A4,Responses!$E:$E,F$3)/(COUNTIFS(Responses!$D:$D,$A4,Responses!$E:$E,F$3)/4),0)</f>
        <v>0</v>
      </c>
      <c r="G4">
        <f>IFERROR(SUMIFS(Responses!$L:$L,Responses!$D:$D,$A4,Responses!$E:$E,G$3)/(COUNTIFS(Responses!$D:$D,$A4,Responses!$E:$E,G$3)/10),0)</f>
        <v>0</v>
      </c>
      <c r="H4">
        <f>IFERROR(SUMIFS(Responses!$L:$L,Responses!$D:$D,$A4,Responses!$E:$E,H$3)/(COUNTIFS(Responses!$D:$D,$A4,Responses!$E:$E,H$3)/9),0)</f>
        <v>0</v>
      </c>
      <c r="I4">
        <f>SUM(B4*15,C4*15,D4*15,E4*15,F4*12,G4*15,H4*13)/100</f>
        <v>0</v>
      </c>
      <c r="K4">
        <f>RANK(I4,$I$4:$I$8,0)</f>
        <v>1</v>
      </c>
      <c r="L4">
        <f>COUNTIFS(Responses!$D:$D,A4)</f>
        <v>0</v>
      </c>
    </row>
    <row r="5" spans="1:12" x14ac:dyDescent="0.25">
      <c r="A5" t="s">
        <v>13</v>
      </c>
      <c r="B5">
        <f>IFERROR(SUMIFS(Responses!$L:$L,Responses!$D:$D,$A5,Responses!$E:$E,B$3)/(COUNTIFS(Responses!$D:$D,$A5,Responses!$E:$E,B$3)/7),0)</f>
        <v>0</v>
      </c>
      <c r="C5">
        <f>IFERROR(SUMIFS(Responses!$L:$L,Responses!$D:$D,$A5,Responses!$E:$E,C$3)/(COUNTIFS(Responses!$D:$D,$A5,Responses!$E:$E,C$3)/5),0)</f>
        <v>0</v>
      </c>
      <c r="D5">
        <f>IFERROR(SUMIFS(Responses!$L:$L,Responses!$D:$D,$A5,Responses!$E:$E,D$3)/(COUNTIFS(Responses!$D:$D,$A5,Responses!$E:$E,D$3)/6),0)</f>
        <v>0</v>
      </c>
      <c r="E5">
        <f>IFERROR(SUMIFS(Responses!$L:$L,Responses!$D:$D,$A5,Responses!$E:$E,E$3)/(COUNTIFS(Responses!$D:$D,$A5,Responses!$E:$E,E$3)/9),0)</f>
        <v>0</v>
      </c>
      <c r="F5">
        <f>IFERROR(SUMIFS(Responses!$L:$L,Responses!$D:$D,$A5,Responses!$E:$E,F$3)/(COUNTIFS(Responses!$D:$D,$A5,Responses!$E:$E,F$3)/4),0)</f>
        <v>0</v>
      </c>
      <c r="G5">
        <f>IFERROR(SUMIFS(Responses!$L:$L,Responses!$D:$D,$A5,Responses!$E:$E,G$3)/(COUNTIFS(Responses!$D:$D,$A5,Responses!$E:$E,G$3)/10),0)</f>
        <v>0</v>
      </c>
      <c r="H5">
        <f>IFERROR(SUMIFS(Responses!$L:$L,Responses!$D:$D,$A5,Responses!$E:$E,H$3)/(COUNTIFS(Responses!$D:$D,$A5,Responses!$E:$E,H$3)/9),0)</f>
        <v>0</v>
      </c>
      <c r="I5">
        <f>SUM(B5*15,C5*15,D5*15,E5*15,F5*12,G5*15,H5*13)/100</f>
        <v>0</v>
      </c>
      <c r="K5">
        <f>RANK(I5,$I$4:$I$8,0)</f>
        <v>1</v>
      </c>
      <c r="L5">
        <f>COUNTIFS(Responses!$D:$D,A5)</f>
        <v>0</v>
      </c>
    </row>
    <row r="6" spans="1:12" x14ac:dyDescent="0.25">
      <c r="A6" t="s">
        <v>14</v>
      </c>
      <c r="B6">
        <f>IFERROR(SUMIFS(Responses!$L:$L,Responses!$D:$D,$A6,Responses!$E:$E,B$3)/(COUNTIFS(Responses!$D:$D,$A6,Responses!$E:$E,B$3)/7),0)</f>
        <v>0</v>
      </c>
      <c r="C6">
        <f>IFERROR(SUMIFS(Responses!$L:$L,Responses!$D:$D,$A6,Responses!$E:$E,C$3)/(COUNTIFS(Responses!$D:$D,$A6,Responses!$E:$E,C$3)/5),0)</f>
        <v>0</v>
      </c>
      <c r="D6">
        <f>IFERROR(SUMIFS(Responses!$L:$L,Responses!$D:$D,$A6,Responses!$E:$E,D$3)/(COUNTIFS(Responses!$D:$D,$A6,Responses!$E:$E,D$3)/6),0)</f>
        <v>0</v>
      </c>
      <c r="E6">
        <f>IFERROR(SUMIFS(Responses!$L:$L,Responses!$D:$D,$A6,Responses!$E:$E,E$3)/(COUNTIFS(Responses!$D:$D,$A6,Responses!$E:$E,E$3)/9),0)</f>
        <v>0</v>
      </c>
      <c r="F6">
        <f>IFERROR(SUMIFS(Responses!$L:$L,Responses!$D:$D,$A6,Responses!$E:$E,F$3)/(COUNTIFS(Responses!$D:$D,$A6,Responses!$E:$E,F$3)/4),0)</f>
        <v>0</v>
      </c>
      <c r="G6">
        <f>IFERROR(SUMIFS(Responses!$L:$L,Responses!$D:$D,$A6,Responses!$E:$E,G$3)/(COUNTIFS(Responses!$D:$D,$A6,Responses!$E:$E,G$3)/10),0)</f>
        <v>0</v>
      </c>
      <c r="H6">
        <f>IFERROR(SUMIFS(Responses!$L:$L,Responses!$D:$D,$A6,Responses!$E:$E,H$3)/(COUNTIFS(Responses!$D:$D,$A6,Responses!$E:$E,H$3)/9),0)</f>
        <v>0</v>
      </c>
      <c r="I6">
        <f>SUM(B6*15,C6*15,D6*15,E6*15,F6*12,G6*15,H6*13)/100</f>
        <v>0</v>
      </c>
      <c r="K6">
        <f>RANK(I6,$I$4:$I$8,0)</f>
        <v>1</v>
      </c>
      <c r="L6">
        <f>COUNTIFS(Responses!$D:$D,A6)</f>
        <v>0</v>
      </c>
    </row>
    <row r="7" spans="1:12" x14ac:dyDescent="0.25">
      <c r="A7" t="s">
        <v>15</v>
      </c>
      <c r="B7">
        <f>IFERROR(SUMIFS(Responses!$L:$L,Responses!$D:$D,$A7,Responses!$E:$E,B$3)/(COUNTIFS(Responses!$D:$D,$A7,Responses!$E:$E,B$3)/7),0)</f>
        <v>0</v>
      </c>
      <c r="C7">
        <f>IFERROR(SUMIFS(Responses!$L:$L,Responses!$D:$D,$A7,Responses!$E:$E,C$3)/(COUNTIFS(Responses!$D:$D,$A7,Responses!$E:$E,C$3)/5),0)</f>
        <v>0</v>
      </c>
      <c r="D7">
        <f>IFERROR(SUMIFS(Responses!$L:$L,Responses!$D:$D,$A7,Responses!$E:$E,D$3)/(COUNTIFS(Responses!$D:$D,$A7,Responses!$E:$E,D$3)/6),0)</f>
        <v>0</v>
      </c>
      <c r="E7">
        <f>IFERROR(SUMIFS(Responses!$L:$L,Responses!$D:$D,$A7,Responses!$E:$E,E$3)/(COUNTIFS(Responses!$D:$D,$A7,Responses!$E:$E,E$3)/9),0)</f>
        <v>0</v>
      </c>
      <c r="F7">
        <f>IFERROR(SUMIFS(Responses!$L:$L,Responses!$D:$D,$A7,Responses!$E:$E,F$3)/(COUNTIFS(Responses!$D:$D,$A7,Responses!$E:$E,F$3)/4),0)</f>
        <v>0</v>
      </c>
      <c r="G7">
        <f>IFERROR(SUMIFS(Responses!$L:$L,Responses!$D:$D,$A7,Responses!$E:$E,G$3)/(COUNTIFS(Responses!$D:$D,$A7,Responses!$E:$E,G$3)/10),0)</f>
        <v>0</v>
      </c>
      <c r="H7">
        <f>IFERROR(SUMIFS(Responses!$L:$L,Responses!$D:$D,$A7,Responses!$E:$E,H$3)/(COUNTIFS(Responses!$D:$D,$A7,Responses!$E:$E,H$3)/9),0)</f>
        <v>0</v>
      </c>
      <c r="I7">
        <f>SUM(B7*15,C7*15,D7*15,E7*15,F7*12,G7*15,H7*13)/100</f>
        <v>0</v>
      </c>
      <c r="K7">
        <f>RANK(I7,$I$4:$I$8,0)</f>
        <v>1</v>
      </c>
      <c r="L7">
        <f>COUNTIFS(Responses!$D:$D,A7)</f>
        <v>0</v>
      </c>
    </row>
    <row r="8" spans="1:12" x14ac:dyDescent="0.25">
      <c r="A8" t="s">
        <v>16</v>
      </c>
      <c r="B8">
        <f>IFERROR(SUMIFS(Responses!$L:$L,Responses!$D:$D,$A8,Responses!$E:$E,B$3)/(COUNTIFS(Responses!$D:$D,$A8,Responses!$E:$E,B$3)/7),0)</f>
        <v>0</v>
      </c>
      <c r="C8">
        <f>IFERROR(SUMIFS(Responses!$L:$L,Responses!$D:$D,$A8,Responses!$E:$E,C$3)/(COUNTIFS(Responses!$D:$D,$A8,Responses!$E:$E,C$3)/5),0)</f>
        <v>0</v>
      </c>
      <c r="D8">
        <f>IFERROR(SUMIFS(Responses!$L:$L,Responses!$D:$D,$A8,Responses!$E:$E,D$3)/(COUNTIFS(Responses!$D:$D,$A8,Responses!$E:$E,D$3)/6),0)</f>
        <v>0</v>
      </c>
      <c r="E8">
        <f>IFERROR(SUMIFS(Responses!$L:$L,Responses!$D:$D,$A8,Responses!$E:$E,E$3)/(COUNTIFS(Responses!$D:$D,$A8,Responses!$E:$E,E$3)/9),0)</f>
        <v>0</v>
      </c>
      <c r="F8">
        <f>IFERROR(SUMIFS(Responses!$L:$L,Responses!$D:$D,$A8,Responses!$E:$E,F$3)/(COUNTIFS(Responses!$D:$D,$A8,Responses!$E:$E,F$3)/4),0)</f>
        <v>0</v>
      </c>
      <c r="G8">
        <f>IFERROR(SUMIFS(Responses!$L:$L,Responses!$D:$D,$A8,Responses!$E:$E,G$3)/(COUNTIFS(Responses!$D:$D,$A8,Responses!$E:$E,G$3)/10),0)</f>
        <v>0</v>
      </c>
      <c r="H8">
        <f>IFERROR(SUMIFS(Responses!$L:$L,Responses!$D:$D,$A8,Responses!$E:$E,H$3)/(COUNTIFS(Responses!$D:$D,$A8,Responses!$E:$E,H$3)/9),0)</f>
        <v>0</v>
      </c>
      <c r="I8">
        <f>SUM(B8*15,C8*15,D8*15,E8*15,F8*12,G8*15,H8*13)/100</f>
        <v>0</v>
      </c>
      <c r="K8">
        <f>RANK(I8,$I$4:$I$8,0)</f>
        <v>1</v>
      </c>
      <c r="L8">
        <f>COUNTIFS(Responses!$D:$D,A8)</f>
        <v>0</v>
      </c>
    </row>
    <row r="11" spans="1:12" ht="15.75" x14ac:dyDescent="0.25">
      <c r="A11" s="2" t="s">
        <v>17</v>
      </c>
    </row>
    <row r="12" spans="1:12" x14ac:dyDescent="0.25">
      <c r="A12" s="9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5" spans="1:12" ht="15.75" x14ac:dyDescent="0.25">
      <c r="A15" s="2" t="s">
        <v>19</v>
      </c>
    </row>
    <row r="16" spans="1:12" x14ac:dyDescent="0.25">
      <c r="A16" t="s">
        <v>20</v>
      </c>
      <c r="B16">
        <f>COUNTIF(Responses!$N:$N,"NO")</f>
        <v>0</v>
      </c>
    </row>
    <row r="17" spans="1:2" x14ac:dyDescent="0.25">
      <c r="A17" t="s">
        <v>21</v>
      </c>
      <c r="B17">
        <f>COUNTIF(Responses!$N:$N,"YES")</f>
        <v>0</v>
      </c>
    </row>
    <row r="18" spans="1:2" x14ac:dyDescent="0.25">
      <c r="A18" t="s">
        <v>22</v>
      </c>
      <c r="B18">
        <f>COUNTIFS(Responses!$C:$C,"&lt;&gt;",Responses!$N:$N,"")</f>
        <v>0</v>
      </c>
    </row>
  </sheetData>
  <mergeCells count="2">
    <mergeCell ref="A12:L13"/>
    <mergeCell ref="A1:L1"/>
  </mergeCells>
  <pageMargins left="0.75" right="0.75" top="1" bottom="1" header="0.5" footer="0.5"/>
  <headerFooter>
    <oddFooter>&amp;L_x000D_&amp;1#&amp;"Aptos"&amp;10&amp;K000000 Confidential - All AMCE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5" x14ac:dyDescent="0.25"/>
  <cols>
    <col min="1" max="1" width="35" customWidth="1"/>
    <col min="2" max="8" width="18" customWidth="1"/>
  </cols>
  <sheetData>
    <row r="1" spans="1:8" ht="23.25" x14ac:dyDescent="0.35">
      <c r="A1" s="10" t="s">
        <v>23</v>
      </c>
      <c r="B1" s="9"/>
      <c r="C1" s="9"/>
      <c r="D1" s="9"/>
      <c r="E1" s="9"/>
      <c r="F1" s="9"/>
      <c r="G1" s="9"/>
      <c r="H1" s="9"/>
    </row>
    <row r="3" spans="1:8" ht="15.75" x14ac:dyDescent="0.25">
      <c r="A3" s="2" t="s">
        <v>24</v>
      </c>
    </row>
    <row r="4" spans="1:8" x14ac:dyDescent="0.25">
      <c r="A4" s="9" t="s">
        <v>25</v>
      </c>
      <c r="B4" s="9"/>
      <c r="C4" s="9"/>
      <c r="D4" s="9"/>
      <c r="E4" s="9"/>
      <c r="F4" s="9"/>
      <c r="G4" s="9"/>
      <c r="H4" s="9"/>
    </row>
    <row r="6" spans="1:8" x14ac:dyDescent="0.25">
      <c r="A6" s="3" t="s">
        <v>26</v>
      </c>
    </row>
    <row r="7" spans="1:8" x14ac:dyDescent="0.25">
      <c r="A7" s="9" t="s">
        <v>27</v>
      </c>
      <c r="B7" s="9"/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10" spans="1:8" x14ac:dyDescent="0.25">
      <c r="A10" s="9" t="s">
        <v>28</v>
      </c>
      <c r="B10" s="9"/>
      <c r="C10" s="9"/>
      <c r="D10" s="9"/>
      <c r="E10" s="9"/>
      <c r="F10" s="9"/>
      <c r="G10" s="9"/>
      <c r="H10" s="9"/>
    </row>
    <row r="11" spans="1:8" x14ac:dyDescent="0.25">
      <c r="A11" s="9" t="s">
        <v>29</v>
      </c>
      <c r="B11" s="9"/>
      <c r="C11" s="9"/>
      <c r="D11" s="9"/>
      <c r="E11" s="9"/>
      <c r="F11" s="9"/>
      <c r="G11" s="9"/>
      <c r="H11" s="9"/>
    </row>
    <row r="12" spans="1:8" x14ac:dyDescent="0.25">
      <c r="A12" s="9" t="s">
        <v>30</v>
      </c>
      <c r="B12" s="9"/>
      <c r="C12" s="9"/>
      <c r="D12" s="9"/>
      <c r="E12" s="9"/>
      <c r="F12" s="9"/>
      <c r="G12" s="9"/>
      <c r="H12" s="9"/>
    </row>
    <row r="13" spans="1:8" x14ac:dyDescent="0.25">
      <c r="A13" s="9" t="s">
        <v>31</v>
      </c>
      <c r="B13" s="9"/>
      <c r="C13" s="9"/>
      <c r="D13" s="9"/>
      <c r="E13" s="9"/>
      <c r="F13" s="9"/>
      <c r="G13" s="9"/>
      <c r="H13" s="9"/>
    </row>
    <row r="14" spans="1:8" x14ac:dyDescent="0.25">
      <c r="A14" s="9" t="s">
        <v>32</v>
      </c>
      <c r="B14" s="9"/>
      <c r="C14" s="9"/>
      <c r="D14" s="9"/>
      <c r="E14" s="9"/>
      <c r="F14" s="9"/>
      <c r="G14" s="9"/>
      <c r="H14" s="9"/>
    </row>
  </sheetData>
  <mergeCells count="8">
    <mergeCell ref="A14:H14"/>
    <mergeCell ref="A1:H1"/>
    <mergeCell ref="A12:H12"/>
    <mergeCell ref="A4:H4"/>
    <mergeCell ref="A7:H8"/>
    <mergeCell ref="A10:H10"/>
    <mergeCell ref="A13:H13"/>
    <mergeCell ref="A11:H11"/>
  </mergeCells>
  <pageMargins left="0.75" right="0.75" top="1" bottom="1" header="0.5" footer="0.5"/>
  <headerFooter>
    <oddFooter>&amp;L_x000D_&amp;1#&amp;"Aptos"&amp;10&amp;K000000 Confidential - All AMCE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  <col min="3" max="3" width="30" customWidth="1"/>
    <col min="4" max="4" width="12" customWidth="1"/>
  </cols>
  <sheetData>
    <row r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40</v>
      </c>
    </row>
    <row r="3" spans="1:4" x14ac:dyDescent="0.25">
      <c r="A3" t="s">
        <v>41</v>
      </c>
      <c r="B3" t="s">
        <v>38</v>
      </c>
      <c r="C3" t="s">
        <v>39</v>
      </c>
      <c r="D3" t="s">
        <v>40</v>
      </c>
    </row>
    <row r="4" spans="1:4" x14ac:dyDescent="0.25">
      <c r="A4" t="s">
        <v>42</v>
      </c>
      <c r="B4" t="s">
        <v>38</v>
      </c>
      <c r="C4" t="s">
        <v>39</v>
      </c>
      <c r="D4" t="s">
        <v>40</v>
      </c>
    </row>
    <row r="5" spans="1:4" x14ac:dyDescent="0.25">
      <c r="A5" t="s">
        <v>43</v>
      </c>
      <c r="B5" t="s">
        <v>38</v>
      </c>
      <c r="C5" t="s">
        <v>39</v>
      </c>
      <c r="D5" t="s">
        <v>40</v>
      </c>
    </row>
    <row r="6" spans="1:4" x14ac:dyDescent="0.25">
      <c r="A6" t="s">
        <v>44</v>
      </c>
      <c r="B6" t="s">
        <v>38</v>
      </c>
      <c r="C6" t="s">
        <v>39</v>
      </c>
      <c r="D6" t="s">
        <v>40</v>
      </c>
    </row>
    <row r="7" spans="1:4" x14ac:dyDescent="0.25">
      <c r="A7" t="s">
        <v>45</v>
      </c>
      <c r="B7" t="s">
        <v>38</v>
      </c>
      <c r="C7" t="s">
        <v>39</v>
      </c>
      <c r="D7" t="s">
        <v>40</v>
      </c>
    </row>
    <row r="8" spans="1:4" x14ac:dyDescent="0.25">
      <c r="A8" t="s">
        <v>46</v>
      </c>
      <c r="B8" t="s">
        <v>38</v>
      </c>
      <c r="C8" t="s">
        <v>39</v>
      </c>
      <c r="D8" t="s">
        <v>40</v>
      </c>
    </row>
    <row r="9" spans="1:4" x14ac:dyDescent="0.25">
      <c r="A9" t="s">
        <v>47</v>
      </c>
      <c r="B9" t="s">
        <v>38</v>
      </c>
      <c r="C9" t="s">
        <v>39</v>
      </c>
      <c r="D9" t="s">
        <v>40</v>
      </c>
    </row>
    <row r="10" spans="1:4" x14ac:dyDescent="0.25">
      <c r="A10" t="s">
        <v>48</v>
      </c>
      <c r="B10" t="s">
        <v>38</v>
      </c>
      <c r="C10" t="s">
        <v>39</v>
      </c>
      <c r="D10" t="s">
        <v>40</v>
      </c>
    </row>
    <row r="11" spans="1:4" x14ac:dyDescent="0.25">
      <c r="A11" t="s">
        <v>49</v>
      </c>
      <c r="B11" t="s">
        <v>38</v>
      </c>
      <c r="C11" t="s">
        <v>39</v>
      </c>
      <c r="D11" t="s">
        <v>40</v>
      </c>
    </row>
    <row r="12" spans="1:4" x14ac:dyDescent="0.25">
      <c r="A12" t="s">
        <v>50</v>
      </c>
      <c r="B12" t="s">
        <v>38</v>
      </c>
      <c r="C12" t="s">
        <v>39</v>
      </c>
      <c r="D12" t="s">
        <v>40</v>
      </c>
    </row>
    <row r="13" spans="1:4" x14ac:dyDescent="0.25">
      <c r="A13" t="s">
        <v>51</v>
      </c>
      <c r="B13" t="s">
        <v>38</v>
      </c>
      <c r="C13" t="s">
        <v>39</v>
      </c>
      <c r="D13" t="s">
        <v>40</v>
      </c>
    </row>
    <row r="14" spans="1:4" x14ac:dyDescent="0.25">
      <c r="A14" t="s">
        <v>52</v>
      </c>
      <c r="B14" t="s">
        <v>38</v>
      </c>
      <c r="C14" t="s">
        <v>39</v>
      </c>
      <c r="D14" t="s">
        <v>40</v>
      </c>
    </row>
    <row r="15" spans="1:4" x14ac:dyDescent="0.25">
      <c r="A15" t="s">
        <v>53</v>
      </c>
      <c r="B15" t="s">
        <v>38</v>
      </c>
      <c r="C15" t="s">
        <v>39</v>
      </c>
      <c r="D15" t="s">
        <v>40</v>
      </c>
    </row>
    <row r="16" spans="1:4" x14ac:dyDescent="0.25">
      <c r="A16" t="s">
        <v>54</v>
      </c>
      <c r="B16" t="s">
        <v>38</v>
      </c>
      <c r="C16" t="s">
        <v>39</v>
      </c>
      <c r="D16" t="s">
        <v>40</v>
      </c>
    </row>
    <row r="17" spans="1:4" x14ac:dyDescent="0.25">
      <c r="A17" t="s">
        <v>55</v>
      </c>
      <c r="B17" t="s">
        <v>38</v>
      </c>
      <c r="C17" t="s">
        <v>39</v>
      </c>
      <c r="D17" t="s">
        <v>40</v>
      </c>
    </row>
    <row r="18" spans="1:4" x14ac:dyDescent="0.25">
      <c r="A18" t="s">
        <v>56</v>
      </c>
      <c r="B18" t="s">
        <v>38</v>
      </c>
      <c r="C18" t="s">
        <v>39</v>
      </c>
      <c r="D18" t="s">
        <v>40</v>
      </c>
    </row>
    <row r="19" spans="1:4" x14ac:dyDescent="0.25">
      <c r="A19" t="s">
        <v>57</v>
      </c>
      <c r="B19" t="s">
        <v>38</v>
      </c>
      <c r="C19" t="s">
        <v>39</v>
      </c>
      <c r="D19" t="s">
        <v>40</v>
      </c>
    </row>
    <row r="20" spans="1:4" x14ac:dyDescent="0.25">
      <c r="A20" t="s">
        <v>58</v>
      </c>
      <c r="B20" t="s">
        <v>38</v>
      </c>
      <c r="C20" t="s">
        <v>39</v>
      </c>
      <c r="D20" t="s">
        <v>40</v>
      </c>
    </row>
    <row r="21" spans="1:4" x14ac:dyDescent="0.25">
      <c r="A21" t="s">
        <v>59</v>
      </c>
      <c r="B21" t="s">
        <v>38</v>
      </c>
      <c r="C21" t="s">
        <v>39</v>
      </c>
      <c r="D21" t="s">
        <v>40</v>
      </c>
    </row>
  </sheetData>
  <pageMargins left="0.75" right="0.75" top="1" bottom="1" header="0.5" footer="0.5"/>
  <headerFooter>
    <oddFooter>&amp;L_x000D_&amp;1#&amp;"Aptos"&amp;10&amp;K000000 Confidential - All AMCE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18" customWidth="1"/>
    <col min="4" max="4" width="12" customWidth="1"/>
  </cols>
  <sheetData>
    <row r="1" spans="1:4" x14ac:dyDescent="0.25">
      <c r="A1" s="4" t="s">
        <v>60</v>
      </c>
      <c r="B1" s="4" t="s">
        <v>61</v>
      </c>
      <c r="C1" s="4" t="s">
        <v>1</v>
      </c>
      <c r="D1" s="4" t="s">
        <v>62</v>
      </c>
    </row>
    <row r="2" spans="1:4" x14ac:dyDescent="0.25">
      <c r="A2" s="5">
        <v>46272</v>
      </c>
      <c r="B2" t="s">
        <v>63</v>
      </c>
      <c r="C2" t="s">
        <v>12</v>
      </c>
      <c r="D2" t="s">
        <v>64</v>
      </c>
    </row>
    <row r="3" spans="1:4" x14ac:dyDescent="0.25">
      <c r="A3" s="5">
        <v>46273</v>
      </c>
      <c r="B3" t="s">
        <v>65</v>
      </c>
      <c r="C3" t="s">
        <v>13</v>
      </c>
      <c r="D3" t="s">
        <v>64</v>
      </c>
    </row>
    <row r="4" spans="1:4" x14ac:dyDescent="0.25">
      <c r="A4" s="5">
        <v>46274</v>
      </c>
      <c r="B4" t="s">
        <v>66</v>
      </c>
      <c r="C4" t="s">
        <v>14</v>
      </c>
      <c r="D4" t="s">
        <v>64</v>
      </c>
    </row>
    <row r="5" spans="1:4" x14ac:dyDescent="0.25">
      <c r="A5" s="5">
        <v>46275</v>
      </c>
      <c r="B5" t="s">
        <v>67</v>
      </c>
      <c r="C5" t="s">
        <v>15</v>
      </c>
      <c r="D5" t="s">
        <v>64</v>
      </c>
    </row>
    <row r="6" spans="1:4" x14ac:dyDescent="0.25">
      <c r="A6" s="5">
        <v>46276</v>
      </c>
      <c r="B6" t="s">
        <v>68</v>
      </c>
      <c r="C6" t="s">
        <v>16</v>
      </c>
      <c r="D6" t="s">
        <v>64</v>
      </c>
    </row>
  </sheetData>
  <pageMargins left="0.75" right="0.75" top="1" bottom="1" header="0.5" footer="0.5"/>
  <headerFooter>
    <oddFooter>&amp;L_x000D_&amp;1#&amp;"Aptos"&amp;10&amp;K000000 Confidential - All AMCE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48" customWidth="1"/>
    <col min="3" max="3" width="12" customWidth="1"/>
    <col min="4" max="4" width="95" customWidth="1"/>
  </cols>
  <sheetData>
    <row r="1" spans="1:4" x14ac:dyDescent="0.25">
      <c r="A1" s="4" t="s">
        <v>69</v>
      </c>
      <c r="B1" s="4" t="s">
        <v>70</v>
      </c>
      <c r="C1" s="4" t="s">
        <v>71</v>
      </c>
      <c r="D1" s="4" t="s">
        <v>72</v>
      </c>
    </row>
    <row r="2" spans="1:4" x14ac:dyDescent="0.25">
      <c r="A2" t="s">
        <v>2</v>
      </c>
      <c r="B2" t="s">
        <v>73</v>
      </c>
      <c r="C2">
        <v>15</v>
      </c>
      <c r="D2" t="s">
        <v>74</v>
      </c>
    </row>
    <row r="3" spans="1:4" x14ac:dyDescent="0.25">
      <c r="A3" t="s">
        <v>2</v>
      </c>
      <c r="B3" t="s">
        <v>75</v>
      </c>
      <c r="C3">
        <v>15</v>
      </c>
      <c r="D3" t="s">
        <v>76</v>
      </c>
    </row>
    <row r="4" spans="1:4" x14ac:dyDescent="0.25">
      <c r="A4" t="s">
        <v>2</v>
      </c>
      <c r="B4" t="s">
        <v>77</v>
      </c>
      <c r="C4">
        <v>14</v>
      </c>
      <c r="D4" t="s">
        <v>78</v>
      </c>
    </row>
    <row r="5" spans="1:4" x14ac:dyDescent="0.25">
      <c r="A5" t="s">
        <v>2</v>
      </c>
      <c r="B5" t="s">
        <v>79</v>
      </c>
      <c r="C5">
        <v>14</v>
      </c>
      <c r="D5" t="s">
        <v>80</v>
      </c>
    </row>
    <row r="6" spans="1:4" x14ac:dyDescent="0.25">
      <c r="A6" t="s">
        <v>2</v>
      </c>
      <c r="B6" t="s">
        <v>81</v>
      </c>
      <c r="C6">
        <v>14</v>
      </c>
      <c r="D6" t="s">
        <v>82</v>
      </c>
    </row>
    <row r="7" spans="1:4" x14ac:dyDescent="0.25">
      <c r="A7" t="s">
        <v>2</v>
      </c>
      <c r="B7" t="s">
        <v>83</v>
      </c>
      <c r="C7">
        <v>14</v>
      </c>
      <c r="D7" t="s">
        <v>84</v>
      </c>
    </row>
    <row r="8" spans="1:4" x14ac:dyDescent="0.25">
      <c r="A8" t="s">
        <v>2</v>
      </c>
      <c r="B8" t="s">
        <v>85</v>
      </c>
      <c r="C8">
        <v>14</v>
      </c>
      <c r="D8" t="s">
        <v>86</v>
      </c>
    </row>
    <row r="9" spans="1:4" x14ac:dyDescent="0.25">
      <c r="A9" t="s">
        <v>3</v>
      </c>
      <c r="B9" t="s">
        <v>87</v>
      </c>
      <c r="C9">
        <v>20</v>
      </c>
      <c r="D9" t="s">
        <v>88</v>
      </c>
    </row>
    <row r="10" spans="1:4" x14ac:dyDescent="0.25">
      <c r="A10" t="s">
        <v>3</v>
      </c>
      <c r="B10" t="s">
        <v>89</v>
      </c>
      <c r="C10">
        <v>20</v>
      </c>
      <c r="D10" t="s">
        <v>90</v>
      </c>
    </row>
    <row r="11" spans="1:4" x14ac:dyDescent="0.25">
      <c r="A11" t="s">
        <v>3</v>
      </c>
      <c r="B11" t="s">
        <v>91</v>
      </c>
      <c r="C11">
        <v>20</v>
      </c>
      <c r="D11" t="s">
        <v>92</v>
      </c>
    </row>
    <row r="12" spans="1:4" x14ac:dyDescent="0.25">
      <c r="A12" t="s">
        <v>3</v>
      </c>
      <c r="B12" t="s">
        <v>93</v>
      </c>
      <c r="C12">
        <v>20</v>
      </c>
      <c r="D12" t="s">
        <v>94</v>
      </c>
    </row>
    <row r="13" spans="1:4" x14ac:dyDescent="0.25">
      <c r="A13" t="s">
        <v>3</v>
      </c>
      <c r="B13" t="s">
        <v>95</v>
      </c>
      <c r="C13">
        <v>20</v>
      </c>
      <c r="D13" t="s">
        <v>96</v>
      </c>
    </row>
    <row r="14" spans="1:4" x14ac:dyDescent="0.25">
      <c r="A14" t="s">
        <v>4</v>
      </c>
      <c r="B14" t="s">
        <v>73</v>
      </c>
      <c r="C14">
        <v>20</v>
      </c>
      <c r="D14" t="s">
        <v>97</v>
      </c>
    </row>
    <row r="15" spans="1:4" x14ac:dyDescent="0.25">
      <c r="A15" t="s">
        <v>4</v>
      </c>
      <c r="B15" t="s">
        <v>98</v>
      </c>
      <c r="C15">
        <v>20</v>
      </c>
      <c r="D15" t="s">
        <v>99</v>
      </c>
    </row>
    <row r="16" spans="1:4" x14ac:dyDescent="0.25">
      <c r="A16" t="s">
        <v>4</v>
      </c>
      <c r="B16" t="s">
        <v>79</v>
      </c>
      <c r="C16">
        <v>10</v>
      </c>
      <c r="D16" t="s">
        <v>100</v>
      </c>
    </row>
    <row r="17" spans="1:4" x14ac:dyDescent="0.25">
      <c r="A17" t="s">
        <v>4</v>
      </c>
      <c r="B17" t="s">
        <v>101</v>
      </c>
      <c r="C17">
        <v>20</v>
      </c>
      <c r="D17" t="s">
        <v>102</v>
      </c>
    </row>
    <row r="18" spans="1:4" x14ac:dyDescent="0.25">
      <c r="A18" t="s">
        <v>4</v>
      </c>
      <c r="B18" t="s">
        <v>103</v>
      </c>
      <c r="C18">
        <v>10</v>
      </c>
      <c r="D18" t="s">
        <v>104</v>
      </c>
    </row>
    <row r="19" spans="1:4" x14ac:dyDescent="0.25">
      <c r="A19" t="s">
        <v>4</v>
      </c>
      <c r="B19" t="s">
        <v>105</v>
      </c>
      <c r="C19">
        <v>20</v>
      </c>
      <c r="D19" t="s">
        <v>106</v>
      </c>
    </row>
    <row r="20" spans="1:4" x14ac:dyDescent="0.25">
      <c r="A20" t="s">
        <v>5</v>
      </c>
      <c r="B20" t="s">
        <v>107</v>
      </c>
      <c r="C20">
        <v>10</v>
      </c>
      <c r="D20" t="s">
        <v>108</v>
      </c>
    </row>
    <row r="21" spans="1:4" x14ac:dyDescent="0.25">
      <c r="A21" t="s">
        <v>5</v>
      </c>
      <c r="B21" t="s">
        <v>109</v>
      </c>
      <c r="C21">
        <v>10</v>
      </c>
      <c r="D21" t="s">
        <v>110</v>
      </c>
    </row>
    <row r="22" spans="1:4" x14ac:dyDescent="0.25">
      <c r="A22" t="s">
        <v>5</v>
      </c>
      <c r="B22" t="s">
        <v>111</v>
      </c>
      <c r="C22">
        <v>10</v>
      </c>
      <c r="D22" t="s">
        <v>112</v>
      </c>
    </row>
    <row r="23" spans="1:4" x14ac:dyDescent="0.25">
      <c r="A23" t="s">
        <v>5</v>
      </c>
      <c r="B23" t="s">
        <v>113</v>
      </c>
      <c r="C23">
        <v>10</v>
      </c>
      <c r="D23" t="s">
        <v>114</v>
      </c>
    </row>
    <row r="24" spans="1:4" x14ac:dyDescent="0.25">
      <c r="A24" t="s">
        <v>5</v>
      </c>
      <c r="B24" t="s">
        <v>115</v>
      </c>
      <c r="C24">
        <v>15</v>
      </c>
      <c r="D24" t="s">
        <v>116</v>
      </c>
    </row>
    <row r="25" spans="1:4" x14ac:dyDescent="0.25">
      <c r="A25" t="s">
        <v>5</v>
      </c>
      <c r="B25" t="s">
        <v>117</v>
      </c>
      <c r="C25">
        <v>10</v>
      </c>
      <c r="D25" t="s">
        <v>118</v>
      </c>
    </row>
    <row r="26" spans="1:4" x14ac:dyDescent="0.25">
      <c r="A26" t="s">
        <v>5</v>
      </c>
      <c r="B26" t="s">
        <v>119</v>
      </c>
      <c r="C26">
        <v>10</v>
      </c>
      <c r="D26" t="s">
        <v>120</v>
      </c>
    </row>
    <row r="27" spans="1:4" x14ac:dyDescent="0.25">
      <c r="A27" t="s">
        <v>5</v>
      </c>
      <c r="B27" t="s">
        <v>121</v>
      </c>
      <c r="C27">
        <v>10</v>
      </c>
      <c r="D27" t="s">
        <v>122</v>
      </c>
    </row>
    <row r="28" spans="1:4" x14ac:dyDescent="0.25">
      <c r="A28" t="s">
        <v>5</v>
      </c>
      <c r="B28" t="s">
        <v>123</v>
      </c>
      <c r="C28">
        <v>15</v>
      </c>
      <c r="D28" t="s">
        <v>124</v>
      </c>
    </row>
    <row r="29" spans="1:4" x14ac:dyDescent="0.25">
      <c r="A29" t="s">
        <v>6</v>
      </c>
      <c r="B29" t="s">
        <v>125</v>
      </c>
      <c r="C29">
        <v>25</v>
      </c>
      <c r="D29" t="s">
        <v>126</v>
      </c>
    </row>
    <row r="30" spans="1:4" x14ac:dyDescent="0.25">
      <c r="A30" t="s">
        <v>6</v>
      </c>
      <c r="B30" t="s">
        <v>115</v>
      </c>
      <c r="C30">
        <v>25</v>
      </c>
      <c r="D30" t="s">
        <v>127</v>
      </c>
    </row>
    <row r="31" spans="1:4" x14ac:dyDescent="0.25">
      <c r="A31" t="s">
        <v>6</v>
      </c>
      <c r="B31" t="s">
        <v>128</v>
      </c>
      <c r="C31">
        <v>25</v>
      </c>
      <c r="D31" t="s">
        <v>129</v>
      </c>
    </row>
    <row r="32" spans="1:4" x14ac:dyDescent="0.25">
      <c r="A32" t="s">
        <v>6</v>
      </c>
      <c r="B32" t="s">
        <v>130</v>
      </c>
      <c r="C32">
        <v>25</v>
      </c>
      <c r="D32" t="s">
        <v>131</v>
      </c>
    </row>
    <row r="33" spans="1:4" x14ac:dyDescent="0.25">
      <c r="A33" t="s">
        <v>7</v>
      </c>
      <c r="B33" t="s">
        <v>73</v>
      </c>
      <c r="C33">
        <v>10</v>
      </c>
      <c r="D33" t="s">
        <v>132</v>
      </c>
    </row>
    <row r="34" spans="1:4" x14ac:dyDescent="0.25">
      <c r="A34" t="s">
        <v>7</v>
      </c>
      <c r="B34" t="s">
        <v>98</v>
      </c>
      <c r="C34">
        <v>10</v>
      </c>
      <c r="D34" t="s">
        <v>133</v>
      </c>
    </row>
    <row r="35" spans="1:4" x14ac:dyDescent="0.25">
      <c r="A35" t="s">
        <v>7</v>
      </c>
      <c r="B35" t="s">
        <v>134</v>
      </c>
      <c r="C35">
        <v>10</v>
      </c>
      <c r="D35" t="s">
        <v>135</v>
      </c>
    </row>
    <row r="36" spans="1:4" x14ac:dyDescent="0.25">
      <c r="A36" t="s">
        <v>7</v>
      </c>
      <c r="B36" t="s">
        <v>101</v>
      </c>
      <c r="C36">
        <v>10</v>
      </c>
      <c r="D36" t="s">
        <v>136</v>
      </c>
    </row>
    <row r="37" spans="1:4" x14ac:dyDescent="0.25">
      <c r="A37" t="s">
        <v>7</v>
      </c>
      <c r="B37" t="s">
        <v>103</v>
      </c>
      <c r="C37">
        <v>10</v>
      </c>
      <c r="D37" t="s">
        <v>137</v>
      </c>
    </row>
    <row r="38" spans="1:4" x14ac:dyDescent="0.25">
      <c r="A38" t="s">
        <v>7</v>
      </c>
      <c r="B38" t="s">
        <v>138</v>
      </c>
      <c r="C38">
        <v>10</v>
      </c>
      <c r="D38" t="s">
        <v>139</v>
      </c>
    </row>
    <row r="39" spans="1:4" x14ac:dyDescent="0.25">
      <c r="A39" t="s">
        <v>7</v>
      </c>
      <c r="B39" t="s">
        <v>140</v>
      </c>
      <c r="C39">
        <v>10</v>
      </c>
      <c r="D39" t="s">
        <v>141</v>
      </c>
    </row>
    <row r="40" spans="1:4" x14ac:dyDescent="0.25">
      <c r="A40" t="s">
        <v>7</v>
      </c>
      <c r="B40" t="s">
        <v>142</v>
      </c>
      <c r="C40">
        <v>10</v>
      </c>
      <c r="D40" t="s">
        <v>143</v>
      </c>
    </row>
    <row r="41" spans="1:4" x14ac:dyDescent="0.25">
      <c r="A41" t="s">
        <v>7</v>
      </c>
      <c r="B41" t="s">
        <v>144</v>
      </c>
      <c r="C41">
        <v>10</v>
      </c>
      <c r="D41" t="s">
        <v>145</v>
      </c>
    </row>
    <row r="42" spans="1:4" x14ac:dyDescent="0.25">
      <c r="A42" t="s">
        <v>7</v>
      </c>
      <c r="B42" t="s">
        <v>146</v>
      </c>
      <c r="C42">
        <v>10</v>
      </c>
      <c r="D42" t="s">
        <v>147</v>
      </c>
    </row>
    <row r="43" spans="1:4" x14ac:dyDescent="0.25">
      <c r="A43" t="s">
        <v>8</v>
      </c>
      <c r="B43" t="s">
        <v>148</v>
      </c>
      <c r="C43">
        <v>15</v>
      </c>
      <c r="D43" t="s">
        <v>149</v>
      </c>
    </row>
    <row r="44" spans="1:4" x14ac:dyDescent="0.25">
      <c r="A44" t="s">
        <v>8</v>
      </c>
      <c r="B44" t="s">
        <v>150</v>
      </c>
      <c r="C44">
        <v>10</v>
      </c>
      <c r="D44" t="s">
        <v>151</v>
      </c>
    </row>
    <row r="45" spans="1:4" x14ac:dyDescent="0.25">
      <c r="A45" t="s">
        <v>8</v>
      </c>
      <c r="B45" t="s">
        <v>152</v>
      </c>
      <c r="C45">
        <v>10</v>
      </c>
      <c r="D45" t="s">
        <v>153</v>
      </c>
    </row>
    <row r="46" spans="1:4" x14ac:dyDescent="0.25">
      <c r="A46" t="s">
        <v>8</v>
      </c>
      <c r="B46" t="s">
        <v>154</v>
      </c>
      <c r="C46">
        <v>10</v>
      </c>
      <c r="D46" t="s">
        <v>155</v>
      </c>
    </row>
    <row r="47" spans="1:4" x14ac:dyDescent="0.25">
      <c r="A47" t="s">
        <v>8</v>
      </c>
      <c r="B47" t="s">
        <v>156</v>
      </c>
      <c r="C47">
        <v>10</v>
      </c>
      <c r="D47" t="s">
        <v>157</v>
      </c>
    </row>
    <row r="48" spans="1:4" x14ac:dyDescent="0.25">
      <c r="A48" t="s">
        <v>8</v>
      </c>
      <c r="B48" t="s">
        <v>158</v>
      </c>
      <c r="C48">
        <v>15</v>
      </c>
      <c r="D48" t="s">
        <v>159</v>
      </c>
    </row>
    <row r="49" spans="1:4" x14ac:dyDescent="0.25">
      <c r="A49" t="s">
        <v>8</v>
      </c>
      <c r="B49" t="s">
        <v>160</v>
      </c>
      <c r="C49">
        <v>10</v>
      </c>
      <c r="D49" t="s">
        <v>161</v>
      </c>
    </row>
    <row r="50" spans="1:4" x14ac:dyDescent="0.25">
      <c r="A50" t="s">
        <v>8</v>
      </c>
      <c r="B50" t="s">
        <v>115</v>
      </c>
      <c r="C50">
        <v>10</v>
      </c>
      <c r="D50" t="s">
        <v>162</v>
      </c>
    </row>
    <row r="51" spans="1:4" x14ac:dyDescent="0.25">
      <c r="A51" t="s">
        <v>8</v>
      </c>
      <c r="B51" t="s">
        <v>163</v>
      </c>
      <c r="C51">
        <v>10</v>
      </c>
      <c r="D51" t="s">
        <v>164</v>
      </c>
    </row>
  </sheetData>
  <pageMargins left="0.75" right="0.75" top="1" bottom="1" header="0.5" footer="0.5"/>
  <headerFooter>
    <oddFooter>&amp;L_x000D_&amp;1#&amp;"Aptos"&amp;10&amp;K000000 Confidential - All AMCE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4" width="16" customWidth="1"/>
    <col min="5" max="5" width="42" customWidth="1"/>
    <col min="6" max="7" width="28" customWidth="1"/>
    <col min="8" max="8" width="30" customWidth="1"/>
    <col min="9" max="9" width="48" customWidth="1"/>
    <col min="10" max="10" width="10" customWidth="1"/>
    <col min="11" max="11" width="12" customWidth="1"/>
    <col min="12" max="12" width="15" customWidth="1"/>
    <col min="13" max="13" width="70" customWidth="1"/>
    <col min="14" max="14" width="16" customWidth="1"/>
  </cols>
  <sheetData>
    <row r="1" spans="1:14" ht="30" x14ac:dyDescent="0.25">
      <c r="A1" s="1" t="s">
        <v>165</v>
      </c>
      <c r="B1" s="1" t="s">
        <v>166</v>
      </c>
      <c r="C1" s="1" t="s">
        <v>60</v>
      </c>
      <c r="D1" s="1" t="s">
        <v>1</v>
      </c>
      <c r="E1" s="1" t="s">
        <v>69</v>
      </c>
      <c r="F1" s="1" t="s">
        <v>33</v>
      </c>
      <c r="G1" s="1" t="s">
        <v>34</v>
      </c>
      <c r="H1" s="1" t="s">
        <v>35</v>
      </c>
      <c r="I1" s="1" t="s">
        <v>70</v>
      </c>
      <c r="J1" s="1" t="s">
        <v>71</v>
      </c>
      <c r="K1" s="1" t="s">
        <v>167</v>
      </c>
      <c r="L1" s="1" t="s">
        <v>168</v>
      </c>
      <c r="M1" s="1" t="s">
        <v>169</v>
      </c>
      <c r="N1" s="1" t="s">
        <v>170</v>
      </c>
    </row>
    <row r="2" spans="1:14" x14ac:dyDescent="0.25">
      <c r="L2" t="str">
        <f t="shared" ref="L2:L65" si="0">IF(OR(J2="",K2=""),"",K2*J2/100)</f>
        <v/>
      </c>
      <c r="N2" t="str">
        <f>IF(OR(C2="",D2=""),"",IFERROR(IF(_xludf.XLOOKUP(C2,'Master Calendar'!$A$2:$A$6,'Master Calendar'!$C$2:$C$6)=D2,"YES","NO"),"NO"))</f>
        <v/>
      </c>
    </row>
    <row r="3" spans="1:14" x14ac:dyDescent="0.25">
      <c r="L3" t="str">
        <f t="shared" si="0"/>
        <v/>
      </c>
      <c r="N3" t="str">
        <f>IF(OR(C3="",D3=""),"",IFERROR(IF(_xludf.XLOOKUP(C3,'Master Calendar'!$A$2:$A$6,'Master Calendar'!$C$2:$C$6)=D3,"YES","NO"),"NO"))</f>
        <v/>
      </c>
    </row>
    <row r="4" spans="1:14" x14ac:dyDescent="0.25">
      <c r="L4" t="str">
        <f t="shared" si="0"/>
        <v/>
      </c>
      <c r="N4" t="str">
        <f>IF(OR(C4="",D4=""),"",IFERROR(IF(_xludf.XLOOKUP(C4,'Master Calendar'!$A$2:$A$6,'Master Calendar'!$C$2:$C$6)=D4,"YES","NO"),"NO"))</f>
        <v/>
      </c>
    </row>
    <row r="5" spans="1:14" x14ac:dyDescent="0.25">
      <c r="L5" t="str">
        <f t="shared" si="0"/>
        <v/>
      </c>
      <c r="N5" t="str">
        <f>IF(OR(C5="",D5=""),"",IFERROR(IF(_xludf.XLOOKUP(C5,'Master Calendar'!$A$2:$A$6,'Master Calendar'!$C$2:$C$6)=D5,"YES","NO"),"NO"))</f>
        <v/>
      </c>
    </row>
    <row r="6" spans="1:14" x14ac:dyDescent="0.25">
      <c r="L6" t="str">
        <f t="shared" si="0"/>
        <v/>
      </c>
      <c r="N6" t="str">
        <f>IF(OR(C6="",D6=""),"",IFERROR(IF(_xludf.XLOOKUP(C6,'Master Calendar'!$A$2:$A$6,'Master Calendar'!$C$2:$C$6)=D6,"YES","NO"),"NO"))</f>
        <v/>
      </c>
    </row>
    <row r="7" spans="1:14" x14ac:dyDescent="0.25">
      <c r="L7" t="str">
        <f t="shared" si="0"/>
        <v/>
      </c>
      <c r="N7" t="str">
        <f>IF(OR(C7="",D7=""),"",IFERROR(IF(_xludf.XLOOKUP(C7,'Master Calendar'!$A$2:$A$6,'Master Calendar'!$C$2:$C$6)=D7,"YES","NO"),"NO"))</f>
        <v/>
      </c>
    </row>
    <row r="8" spans="1:14" x14ac:dyDescent="0.25">
      <c r="L8" t="str">
        <f t="shared" si="0"/>
        <v/>
      </c>
      <c r="N8" t="str">
        <f>IF(OR(C8="",D8=""),"",IFERROR(IF(_xludf.XLOOKUP(C8,'Master Calendar'!$A$2:$A$6,'Master Calendar'!$C$2:$C$6)=D8,"YES","NO"),"NO"))</f>
        <v/>
      </c>
    </row>
    <row r="9" spans="1:14" x14ac:dyDescent="0.25">
      <c r="L9" t="str">
        <f t="shared" si="0"/>
        <v/>
      </c>
      <c r="N9" t="str">
        <f>IF(OR(C9="",D9=""),"",IFERROR(IF(_xludf.XLOOKUP(C9,'Master Calendar'!$A$2:$A$6,'Master Calendar'!$C$2:$C$6)=D9,"YES","NO"),"NO"))</f>
        <v/>
      </c>
    </row>
    <row r="10" spans="1:14" x14ac:dyDescent="0.25">
      <c r="L10" t="str">
        <f t="shared" si="0"/>
        <v/>
      </c>
      <c r="N10" t="str">
        <f>IF(OR(C10="",D10=""),"",IFERROR(IF(_xludf.XLOOKUP(C10,'Master Calendar'!$A$2:$A$6,'Master Calendar'!$C$2:$C$6)=D10,"YES","NO"),"NO"))</f>
        <v/>
      </c>
    </row>
    <row r="11" spans="1:14" x14ac:dyDescent="0.25">
      <c r="L11" t="str">
        <f t="shared" si="0"/>
        <v/>
      </c>
      <c r="N11" t="str">
        <f>IF(OR(C11="",D11=""),"",IFERROR(IF(_xludf.XLOOKUP(C11,'Master Calendar'!$A$2:$A$6,'Master Calendar'!$C$2:$C$6)=D11,"YES","NO"),"NO"))</f>
        <v/>
      </c>
    </row>
    <row r="12" spans="1:14" x14ac:dyDescent="0.25">
      <c r="L12" t="str">
        <f t="shared" si="0"/>
        <v/>
      </c>
      <c r="N12" t="str">
        <f>IF(OR(C12="",D12=""),"",IFERROR(IF(_xludf.XLOOKUP(C12,'Master Calendar'!$A$2:$A$6,'Master Calendar'!$C$2:$C$6)=D12,"YES","NO"),"NO"))</f>
        <v/>
      </c>
    </row>
    <row r="13" spans="1:14" x14ac:dyDescent="0.25">
      <c r="L13" t="str">
        <f t="shared" si="0"/>
        <v/>
      </c>
      <c r="N13" t="str">
        <f>IF(OR(C13="",D13=""),"",IFERROR(IF(_xludf.XLOOKUP(C13,'Master Calendar'!$A$2:$A$6,'Master Calendar'!$C$2:$C$6)=D13,"YES","NO"),"NO"))</f>
        <v/>
      </c>
    </row>
    <row r="14" spans="1:14" x14ac:dyDescent="0.25">
      <c r="L14" t="str">
        <f t="shared" si="0"/>
        <v/>
      </c>
      <c r="N14" t="str">
        <f>IF(OR(C14="",D14=""),"",IFERROR(IF(_xludf.XLOOKUP(C14,'Master Calendar'!$A$2:$A$6,'Master Calendar'!$C$2:$C$6)=D14,"YES","NO"),"NO"))</f>
        <v/>
      </c>
    </row>
    <row r="15" spans="1:14" x14ac:dyDescent="0.25">
      <c r="L15" t="str">
        <f t="shared" si="0"/>
        <v/>
      </c>
      <c r="N15" t="str">
        <f>IF(OR(C15="",D15=""),"",IFERROR(IF(_xludf.XLOOKUP(C15,'Master Calendar'!$A$2:$A$6,'Master Calendar'!$C$2:$C$6)=D15,"YES","NO"),"NO"))</f>
        <v/>
      </c>
    </row>
    <row r="16" spans="1:14" x14ac:dyDescent="0.25">
      <c r="L16" t="str">
        <f t="shared" si="0"/>
        <v/>
      </c>
      <c r="N16" t="str">
        <f>IF(OR(C16="",D16=""),"",IFERROR(IF(_xludf.XLOOKUP(C16,'Master Calendar'!$A$2:$A$6,'Master Calendar'!$C$2:$C$6)=D16,"YES","NO"),"NO"))</f>
        <v/>
      </c>
    </row>
    <row r="17" spans="12:14" x14ac:dyDescent="0.25">
      <c r="L17" t="str">
        <f t="shared" si="0"/>
        <v/>
      </c>
      <c r="N17" t="str">
        <f>IF(OR(C17="",D17=""),"",IFERROR(IF(_xludf.XLOOKUP(C17,'Master Calendar'!$A$2:$A$6,'Master Calendar'!$C$2:$C$6)=D17,"YES","NO"),"NO"))</f>
        <v/>
      </c>
    </row>
    <row r="18" spans="12:14" x14ac:dyDescent="0.25">
      <c r="L18" t="str">
        <f t="shared" si="0"/>
        <v/>
      </c>
      <c r="N18" t="str">
        <f>IF(OR(C18="",D18=""),"",IFERROR(IF(_xludf.XLOOKUP(C18,'Master Calendar'!$A$2:$A$6,'Master Calendar'!$C$2:$C$6)=D18,"YES","NO"),"NO"))</f>
        <v/>
      </c>
    </row>
    <row r="19" spans="12:14" x14ac:dyDescent="0.25">
      <c r="L19" t="str">
        <f t="shared" si="0"/>
        <v/>
      </c>
      <c r="N19" t="str">
        <f>IF(OR(C19="",D19=""),"",IFERROR(IF(_xludf.XLOOKUP(C19,'Master Calendar'!$A$2:$A$6,'Master Calendar'!$C$2:$C$6)=D19,"YES","NO"),"NO"))</f>
        <v/>
      </c>
    </row>
    <row r="20" spans="12:14" x14ac:dyDescent="0.25">
      <c r="L20" t="str">
        <f t="shared" si="0"/>
        <v/>
      </c>
      <c r="N20" t="str">
        <f>IF(OR(C20="",D20=""),"",IFERROR(IF(_xludf.XLOOKUP(C20,'Master Calendar'!$A$2:$A$6,'Master Calendar'!$C$2:$C$6)=D20,"YES","NO"),"NO"))</f>
        <v/>
      </c>
    </row>
    <row r="21" spans="12:14" x14ac:dyDescent="0.25">
      <c r="L21" t="str">
        <f t="shared" si="0"/>
        <v/>
      </c>
      <c r="N21" t="str">
        <f>IF(OR(C21="",D21=""),"",IFERROR(IF(_xludf.XLOOKUP(C21,'Master Calendar'!$A$2:$A$6,'Master Calendar'!$C$2:$C$6)=D21,"YES","NO"),"NO"))</f>
        <v/>
      </c>
    </row>
    <row r="22" spans="12:14" x14ac:dyDescent="0.25">
      <c r="L22" t="str">
        <f t="shared" si="0"/>
        <v/>
      </c>
      <c r="N22" t="str">
        <f>IF(OR(C22="",D22=""),"",IFERROR(IF(_xludf.XLOOKUP(C22,'Master Calendar'!$A$2:$A$6,'Master Calendar'!$C$2:$C$6)=D22,"YES","NO"),"NO"))</f>
        <v/>
      </c>
    </row>
    <row r="23" spans="12:14" x14ac:dyDescent="0.25">
      <c r="L23" t="str">
        <f t="shared" si="0"/>
        <v/>
      </c>
      <c r="N23" t="str">
        <f>IF(OR(C23="",D23=""),"",IFERROR(IF(_xludf.XLOOKUP(C23,'Master Calendar'!$A$2:$A$6,'Master Calendar'!$C$2:$C$6)=D23,"YES","NO"),"NO"))</f>
        <v/>
      </c>
    </row>
    <row r="24" spans="12:14" x14ac:dyDescent="0.25">
      <c r="L24" t="str">
        <f t="shared" si="0"/>
        <v/>
      </c>
      <c r="N24" t="str">
        <f>IF(OR(C24="",D24=""),"",IFERROR(IF(_xludf.XLOOKUP(C24,'Master Calendar'!$A$2:$A$6,'Master Calendar'!$C$2:$C$6)=D24,"YES","NO"),"NO"))</f>
        <v/>
      </c>
    </row>
    <row r="25" spans="12:14" x14ac:dyDescent="0.25">
      <c r="L25" t="str">
        <f t="shared" si="0"/>
        <v/>
      </c>
      <c r="N25" t="str">
        <f>IF(OR(C25="",D25=""),"",IFERROR(IF(_xludf.XLOOKUP(C25,'Master Calendar'!$A$2:$A$6,'Master Calendar'!$C$2:$C$6)=D25,"YES","NO"),"NO"))</f>
        <v/>
      </c>
    </row>
    <row r="26" spans="12:14" x14ac:dyDescent="0.25">
      <c r="L26" t="str">
        <f t="shared" si="0"/>
        <v/>
      </c>
      <c r="N26" t="str">
        <f>IF(OR(C26="",D26=""),"",IFERROR(IF(_xludf.XLOOKUP(C26,'Master Calendar'!$A$2:$A$6,'Master Calendar'!$C$2:$C$6)=D26,"YES","NO"),"NO"))</f>
        <v/>
      </c>
    </row>
    <row r="27" spans="12:14" x14ac:dyDescent="0.25">
      <c r="L27" t="str">
        <f t="shared" si="0"/>
        <v/>
      </c>
      <c r="N27" t="str">
        <f>IF(OR(C27="",D27=""),"",IFERROR(IF(_xludf.XLOOKUP(C27,'Master Calendar'!$A$2:$A$6,'Master Calendar'!$C$2:$C$6)=D27,"YES","NO"),"NO"))</f>
        <v/>
      </c>
    </row>
    <row r="28" spans="12:14" x14ac:dyDescent="0.25">
      <c r="L28" t="str">
        <f t="shared" si="0"/>
        <v/>
      </c>
      <c r="N28" t="str">
        <f>IF(OR(C28="",D28=""),"",IFERROR(IF(_xludf.XLOOKUP(C28,'Master Calendar'!$A$2:$A$6,'Master Calendar'!$C$2:$C$6)=D28,"YES","NO"),"NO"))</f>
        <v/>
      </c>
    </row>
    <row r="29" spans="12:14" x14ac:dyDescent="0.25">
      <c r="L29" t="str">
        <f t="shared" si="0"/>
        <v/>
      </c>
      <c r="N29" t="str">
        <f>IF(OR(C29="",D29=""),"",IFERROR(IF(_xludf.XLOOKUP(C29,'Master Calendar'!$A$2:$A$6,'Master Calendar'!$C$2:$C$6)=D29,"YES","NO"),"NO"))</f>
        <v/>
      </c>
    </row>
    <row r="30" spans="12:14" x14ac:dyDescent="0.25">
      <c r="L30" t="str">
        <f t="shared" si="0"/>
        <v/>
      </c>
      <c r="N30" t="str">
        <f>IF(OR(C30="",D30=""),"",IFERROR(IF(_xludf.XLOOKUP(C30,'Master Calendar'!$A$2:$A$6,'Master Calendar'!$C$2:$C$6)=D30,"YES","NO"),"NO"))</f>
        <v/>
      </c>
    </row>
    <row r="31" spans="12:14" x14ac:dyDescent="0.25">
      <c r="L31" t="str">
        <f t="shared" si="0"/>
        <v/>
      </c>
      <c r="N31" t="str">
        <f>IF(OR(C31="",D31=""),"",IFERROR(IF(_xludf.XLOOKUP(C31,'Master Calendar'!$A$2:$A$6,'Master Calendar'!$C$2:$C$6)=D31,"YES","NO"),"NO"))</f>
        <v/>
      </c>
    </row>
    <row r="32" spans="12:14" x14ac:dyDescent="0.25">
      <c r="L32" t="str">
        <f t="shared" si="0"/>
        <v/>
      </c>
      <c r="N32" t="str">
        <f>IF(OR(C32="",D32=""),"",IFERROR(IF(_xludf.XLOOKUP(C32,'Master Calendar'!$A$2:$A$6,'Master Calendar'!$C$2:$C$6)=D32,"YES","NO"),"NO"))</f>
        <v/>
      </c>
    </row>
    <row r="33" spans="12:14" x14ac:dyDescent="0.25">
      <c r="L33" t="str">
        <f t="shared" si="0"/>
        <v/>
      </c>
      <c r="N33" t="str">
        <f>IF(OR(C33="",D33=""),"",IFERROR(IF(_xludf.XLOOKUP(C33,'Master Calendar'!$A$2:$A$6,'Master Calendar'!$C$2:$C$6)=D33,"YES","NO"),"NO"))</f>
        <v/>
      </c>
    </row>
    <row r="34" spans="12:14" x14ac:dyDescent="0.25">
      <c r="L34" t="str">
        <f t="shared" si="0"/>
        <v/>
      </c>
      <c r="N34" t="str">
        <f>IF(OR(C34="",D34=""),"",IFERROR(IF(_xludf.XLOOKUP(C34,'Master Calendar'!$A$2:$A$6,'Master Calendar'!$C$2:$C$6)=D34,"YES","NO"),"NO"))</f>
        <v/>
      </c>
    </row>
    <row r="35" spans="12:14" x14ac:dyDescent="0.25">
      <c r="L35" t="str">
        <f t="shared" si="0"/>
        <v/>
      </c>
      <c r="N35" t="str">
        <f>IF(OR(C35="",D35=""),"",IFERROR(IF(_xludf.XLOOKUP(C35,'Master Calendar'!$A$2:$A$6,'Master Calendar'!$C$2:$C$6)=D35,"YES","NO"),"NO"))</f>
        <v/>
      </c>
    </row>
    <row r="36" spans="12:14" x14ac:dyDescent="0.25">
      <c r="L36" t="str">
        <f t="shared" si="0"/>
        <v/>
      </c>
      <c r="N36" t="str">
        <f>IF(OR(C36="",D36=""),"",IFERROR(IF(_xludf.XLOOKUP(C36,'Master Calendar'!$A$2:$A$6,'Master Calendar'!$C$2:$C$6)=D36,"YES","NO"),"NO"))</f>
        <v/>
      </c>
    </row>
    <row r="37" spans="12:14" x14ac:dyDescent="0.25">
      <c r="L37" t="str">
        <f t="shared" si="0"/>
        <v/>
      </c>
      <c r="N37" t="str">
        <f>IF(OR(C37="",D37=""),"",IFERROR(IF(_xludf.XLOOKUP(C37,'Master Calendar'!$A$2:$A$6,'Master Calendar'!$C$2:$C$6)=D37,"YES","NO"),"NO"))</f>
        <v/>
      </c>
    </row>
    <row r="38" spans="12:14" x14ac:dyDescent="0.25">
      <c r="L38" t="str">
        <f t="shared" si="0"/>
        <v/>
      </c>
      <c r="N38" t="str">
        <f>IF(OR(C38="",D38=""),"",IFERROR(IF(_xludf.XLOOKUP(C38,'Master Calendar'!$A$2:$A$6,'Master Calendar'!$C$2:$C$6)=D38,"YES","NO"),"NO"))</f>
        <v/>
      </c>
    </row>
    <row r="39" spans="12:14" x14ac:dyDescent="0.25">
      <c r="L39" t="str">
        <f t="shared" si="0"/>
        <v/>
      </c>
      <c r="N39" t="str">
        <f>IF(OR(C39="",D39=""),"",IFERROR(IF(_xludf.XLOOKUP(C39,'Master Calendar'!$A$2:$A$6,'Master Calendar'!$C$2:$C$6)=D39,"YES","NO"),"NO"))</f>
        <v/>
      </c>
    </row>
    <row r="40" spans="12:14" x14ac:dyDescent="0.25">
      <c r="L40" t="str">
        <f t="shared" si="0"/>
        <v/>
      </c>
      <c r="N40" t="str">
        <f>IF(OR(C40="",D40=""),"",IFERROR(IF(_xludf.XLOOKUP(C40,'Master Calendar'!$A$2:$A$6,'Master Calendar'!$C$2:$C$6)=D40,"YES","NO"),"NO"))</f>
        <v/>
      </c>
    </row>
    <row r="41" spans="12:14" x14ac:dyDescent="0.25">
      <c r="L41" t="str">
        <f t="shared" si="0"/>
        <v/>
      </c>
      <c r="N41" t="str">
        <f>IF(OR(C41="",D41=""),"",IFERROR(IF(_xludf.XLOOKUP(C41,'Master Calendar'!$A$2:$A$6,'Master Calendar'!$C$2:$C$6)=D41,"YES","NO"),"NO"))</f>
        <v/>
      </c>
    </row>
    <row r="42" spans="12:14" x14ac:dyDescent="0.25">
      <c r="L42" t="str">
        <f t="shared" si="0"/>
        <v/>
      </c>
      <c r="N42" t="str">
        <f>IF(OR(C42="",D42=""),"",IFERROR(IF(_xludf.XLOOKUP(C42,'Master Calendar'!$A$2:$A$6,'Master Calendar'!$C$2:$C$6)=D42,"YES","NO"),"NO"))</f>
        <v/>
      </c>
    </row>
    <row r="43" spans="12:14" x14ac:dyDescent="0.25">
      <c r="L43" t="str">
        <f t="shared" si="0"/>
        <v/>
      </c>
      <c r="N43" t="str">
        <f>IF(OR(C43="",D43=""),"",IFERROR(IF(_xludf.XLOOKUP(C43,'Master Calendar'!$A$2:$A$6,'Master Calendar'!$C$2:$C$6)=D43,"YES","NO"),"NO"))</f>
        <v/>
      </c>
    </row>
    <row r="44" spans="12:14" x14ac:dyDescent="0.25">
      <c r="L44" t="str">
        <f t="shared" si="0"/>
        <v/>
      </c>
      <c r="N44" t="str">
        <f>IF(OR(C44="",D44=""),"",IFERROR(IF(_xludf.XLOOKUP(C44,'Master Calendar'!$A$2:$A$6,'Master Calendar'!$C$2:$C$6)=D44,"YES","NO"),"NO"))</f>
        <v/>
      </c>
    </row>
    <row r="45" spans="12:14" x14ac:dyDescent="0.25">
      <c r="L45" t="str">
        <f t="shared" si="0"/>
        <v/>
      </c>
      <c r="N45" t="str">
        <f>IF(OR(C45="",D45=""),"",IFERROR(IF(_xludf.XLOOKUP(C45,'Master Calendar'!$A$2:$A$6,'Master Calendar'!$C$2:$C$6)=D45,"YES","NO"),"NO"))</f>
        <v/>
      </c>
    </row>
    <row r="46" spans="12:14" x14ac:dyDescent="0.25">
      <c r="L46" t="str">
        <f t="shared" si="0"/>
        <v/>
      </c>
      <c r="N46" t="str">
        <f>IF(OR(C46="",D46=""),"",IFERROR(IF(_xludf.XLOOKUP(C46,'Master Calendar'!$A$2:$A$6,'Master Calendar'!$C$2:$C$6)=D46,"YES","NO"),"NO"))</f>
        <v/>
      </c>
    </row>
    <row r="47" spans="12:14" x14ac:dyDescent="0.25">
      <c r="L47" t="str">
        <f t="shared" si="0"/>
        <v/>
      </c>
      <c r="N47" t="str">
        <f>IF(OR(C47="",D47=""),"",IFERROR(IF(_xludf.XLOOKUP(C47,'Master Calendar'!$A$2:$A$6,'Master Calendar'!$C$2:$C$6)=D47,"YES","NO"),"NO"))</f>
        <v/>
      </c>
    </row>
    <row r="48" spans="12:14" x14ac:dyDescent="0.25">
      <c r="L48" t="str">
        <f t="shared" si="0"/>
        <v/>
      </c>
      <c r="N48" t="str">
        <f>IF(OR(C48="",D48=""),"",IFERROR(IF(_xludf.XLOOKUP(C48,'Master Calendar'!$A$2:$A$6,'Master Calendar'!$C$2:$C$6)=D48,"YES","NO"),"NO"))</f>
        <v/>
      </c>
    </row>
    <row r="49" spans="12:14" x14ac:dyDescent="0.25">
      <c r="L49" t="str">
        <f t="shared" si="0"/>
        <v/>
      </c>
      <c r="N49" t="str">
        <f>IF(OR(C49="",D49=""),"",IFERROR(IF(_xludf.XLOOKUP(C49,'Master Calendar'!$A$2:$A$6,'Master Calendar'!$C$2:$C$6)=D49,"YES","NO"),"NO"))</f>
        <v/>
      </c>
    </row>
    <row r="50" spans="12:14" x14ac:dyDescent="0.25">
      <c r="L50" t="str">
        <f t="shared" si="0"/>
        <v/>
      </c>
      <c r="N50" t="str">
        <f>IF(OR(C50="",D50=""),"",IFERROR(IF(_xludf.XLOOKUP(C50,'Master Calendar'!$A$2:$A$6,'Master Calendar'!$C$2:$C$6)=D50,"YES","NO"),"NO"))</f>
        <v/>
      </c>
    </row>
    <row r="51" spans="12:14" x14ac:dyDescent="0.25">
      <c r="L51" t="str">
        <f t="shared" si="0"/>
        <v/>
      </c>
      <c r="N51" t="str">
        <f>IF(OR(C51="",D51=""),"",IFERROR(IF(_xludf.XLOOKUP(C51,'Master Calendar'!$A$2:$A$6,'Master Calendar'!$C$2:$C$6)=D51,"YES","NO"),"NO"))</f>
        <v/>
      </c>
    </row>
    <row r="52" spans="12:14" x14ac:dyDescent="0.25">
      <c r="L52" t="str">
        <f t="shared" si="0"/>
        <v/>
      </c>
      <c r="N52" t="str">
        <f>IF(OR(C52="",D52=""),"",IFERROR(IF(_xludf.XLOOKUP(C52,'Master Calendar'!$A$2:$A$6,'Master Calendar'!$C$2:$C$6)=D52,"YES","NO"),"NO"))</f>
        <v/>
      </c>
    </row>
    <row r="53" spans="12:14" x14ac:dyDescent="0.25">
      <c r="L53" t="str">
        <f t="shared" si="0"/>
        <v/>
      </c>
      <c r="N53" t="str">
        <f>IF(OR(C53="",D53=""),"",IFERROR(IF(_xludf.XLOOKUP(C53,'Master Calendar'!$A$2:$A$6,'Master Calendar'!$C$2:$C$6)=D53,"YES","NO"),"NO"))</f>
        <v/>
      </c>
    </row>
    <row r="54" spans="12:14" x14ac:dyDescent="0.25">
      <c r="L54" t="str">
        <f t="shared" si="0"/>
        <v/>
      </c>
      <c r="N54" t="str">
        <f>IF(OR(C54="",D54=""),"",IFERROR(IF(_xludf.XLOOKUP(C54,'Master Calendar'!$A$2:$A$6,'Master Calendar'!$C$2:$C$6)=D54,"YES","NO"),"NO"))</f>
        <v/>
      </c>
    </row>
    <row r="55" spans="12:14" x14ac:dyDescent="0.25">
      <c r="L55" t="str">
        <f t="shared" si="0"/>
        <v/>
      </c>
      <c r="N55" t="str">
        <f>IF(OR(C55="",D55=""),"",IFERROR(IF(_xludf.XLOOKUP(C55,'Master Calendar'!$A$2:$A$6,'Master Calendar'!$C$2:$C$6)=D55,"YES","NO"),"NO"))</f>
        <v/>
      </c>
    </row>
    <row r="56" spans="12:14" x14ac:dyDescent="0.25">
      <c r="L56" t="str">
        <f t="shared" si="0"/>
        <v/>
      </c>
      <c r="N56" t="str">
        <f>IF(OR(C56="",D56=""),"",IFERROR(IF(_xludf.XLOOKUP(C56,'Master Calendar'!$A$2:$A$6,'Master Calendar'!$C$2:$C$6)=D56,"YES","NO"),"NO"))</f>
        <v/>
      </c>
    </row>
    <row r="57" spans="12:14" x14ac:dyDescent="0.25">
      <c r="L57" t="str">
        <f t="shared" si="0"/>
        <v/>
      </c>
      <c r="N57" t="str">
        <f>IF(OR(C57="",D57=""),"",IFERROR(IF(_xludf.XLOOKUP(C57,'Master Calendar'!$A$2:$A$6,'Master Calendar'!$C$2:$C$6)=D57,"YES","NO"),"NO"))</f>
        <v/>
      </c>
    </row>
    <row r="58" spans="12:14" x14ac:dyDescent="0.25">
      <c r="L58" t="str">
        <f t="shared" si="0"/>
        <v/>
      </c>
      <c r="N58" t="str">
        <f>IF(OR(C58="",D58=""),"",IFERROR(IF(_xludf.XLOOKUP(C58,'Master Calendar'!$A$2:$A$6,'Master Calendar'!$C$2:$C$6)=D58,"YES","NO"),"NO"))</f>
        <v/>
      </c>
    </row>
    <row r="59" spans="12:14" x14ac:dyDescent="0.25">
      <c r="L59" t="str">
        <f t="shared" si="0"/>
        <v/>
      </c>
      <c r="N59" t="str">
        <f>IF(OR(C59="",D59=""),"",IFERROR(IF(_xludf.XLOOKUP(C59,'Master Calendar'!$A$2:$A$6,'Master Calendar'!$C$2:$C$6)=D59,"YES","NO"),"NO"))</f>
        <v/>
      </c>
    </row>
    <row r="60" spans="12:14" x14ac:dyDescent="0.25">
      <c r="L60" t="str">
        <f t="shared" si="0"/>
        <v/>
      </c>
      <c r="N60" t="str">
        <f>IF(OR(C60="",D60=""),"",IFERROR(IF(_xludf.XLOOKUP(C60,'Master Calendar'!$A$2:$A$6,'Master Calendar'!$C$2:$C$6)=D60,"YES","NO"),"NO"))</f>
        <v/>
      </c>
    </row>
    <row r="61" spans="12:14" x14ac:dyDescent="0.25">
      <c r="L61" t="str">
        <f t="shared" si="0"/>
        <v/>
      </c>
      <c r="N61" t="str">
        <f>IF(OR(C61="",D61=""),"",IFERROR(IF(_xludf.XLOOKUP(C61,'Master Calendar'!$A$2:$A$6,'Master Calendar'!$C$2:$C$6)=D61,"YES","NO"),"NO"))</f>
        <v/>
      </c>
    </row>
    <row r="62" spans="12:14" x14ac:dyDescent="0.25">
      <c r="L62" t="str">
        <f t="shared" si="0"/>
        <v/>
      </c>
      <c r="N62" t="str">
        <f>IF(OR(C62="",D62=""),"",IFERROR(IF(_xludf.XLOOKUP(C62,'Master Calendar'!$A$2:$A$6,'Master Calendar'!$C$2:$C$6)=D62,"YES","NO"),"NO"))</f>
        <v/>
      </c>
    </row>
    <row r="63" spans="12:14" x14ac:dyDescent="0.25">
      <c r="L63" t="str">
        <f t="shared" si="0"/>
        <v/>
      </c>
      <c r="N63" t="str">
        <f>IF(OR(C63="",D63=""),"",IFERROR(IF(_xludf.XLOOKUP(C63,'Master Calendar'!$A$2:$A$6,'Master Calendar'!$C$2:$C$6)=D63,"YES","NO"),"NO"))</f>
        <v/>
      </c>
    </row>
    <row r="64" spans="12:14" x14ac:dyDescent="0.25">
      <c r="L64" t="str">
        <f t="shared" si="0"/>
        <v/>
      </c>
      <c r="N64" t="str">
        <f>IF(OR(C64="",D64=""),"",IFERROR(IF(_xludf.XLOOKUP(C64,'Master Calendar'!$A$2:$A$6,'Master Calendar'!$C$2:$C$6)=D64,"YES","NO"),"NO"))</f>
        <v/>
      </c>
    </row>
    <row r="65" spans="12:14" x14ac:dyDescent="0.25">
      <c r="L65" t="str">
        <f t="shared" si="0"/>
        <v/>
      </c>
      <c r="N65" t="str">
        <f>IF(OR(C65="",D65=""),"",IFERROR(IF(_xludf.XLOOKUP(C65,'Master Calendar'!$A$2:$A$6,'Master Calendar'!$C$2:$C$6)=D65,"YES","NO"),"NO"))</f>
        <v/>
      </c>
    </row>
    <row r="66" spans="12:14" x14ac:dyDescent="0.25">
      <c r="L66" t="str">
        <f t="shared" ref="L66:L129" si="1">IF(OR(J66="",K66=""),"",K66*J66/100)</f>
        <v/>
      </c>
      <c r="N66" t="str">
        <f>IF(OR(C66="",D66=""),"",IFERROR(IF(_xludf.XLOOKUP(C66,'Master Calendar'!$A$2:$A$6,'Master Calendar'!$C$2:$C$6)=D66,"YES","NO"),"NO"))</f>
        <v/>
      </c>
    </row>
    <row r="67" spans="12:14" x14ac:dyDescent="0.25">
      <c r="L67" t="str">
        <f t="shared" si="1"/>
        <v/>
      </c>
      <c r="N67" t="str">
        <f>IF(OR(C67="",D67=""),"",IFERROR(IF(_xludf.XLOOKUP(C67,'Master Calendar'!$A$2:$A$6,'Master Calendar'!$C$2:$C$6)=D67,"YES","NO"),"NO"))</f>
        <v/>
      </c>
    </row>
    <row r="68" spans="12:14" x14ac:dyDescent="0.25">
      <c r="L68" t="str">
        <f t="shared" si="1"/>
        <v/>
      </c>
      <c r="N68" t="str">
        <f>IF(OR(C68="",D68=""),"",IFERROR(IF(_xludf.XLOOKUP(C68,'Master Calendar'!$A$2:$A$6,'Master Calendar'!$C$2:$C$6)=D68,"YES","NO"),"NO"))</f>
        <v/>
      </c>
    </row>
    <row r="69" spans="12:14" x14ac:dyDescent="0.25">
      <c r="L69" t="str">
        <f t="shared" si="1"/>
        <v/>
      </c>
      <c r="N69" t="str">
        <f>IF(OR(C69="",D69=""),"",IFERROR(IF(_xludf.XLOOKUP(C69,'Master Calendar'!$A$2:$A$6,'Master Calendar'!$C$2:$C$6)=D69,"YES","NO"),"NO"))</f>
        <v/>
      </c>
    </row>
    <row r="70" spans="12:14" x14ac:dyDescent="0.25">
      <c r="L70" t="str">
        <f t="shared" si="1"/>
        <v/>
      </c>
      <c r="N70" t="str">
        <f>IF(OR(C70="",D70=""),"",IFERROR(IF(_xludf.XLOOKUP(C70,'Master Calendar'!$A$2:$A$6,'Master Calendar'!$C$2:$C$6)=D70,"YES","NO"),"NO"))</f>
        <v/>
      </c>
    </row>
    <row r="71" spans="12:14" x14ac:dyDescent="0.25">
      <c r="L71" t="str">
        <f t="shared" si="1"/>
        <v/>
      </c>
      <c r="N71" t="str">
        <f>IF(OR(C71="",D71=""),"",IFERROR(IF(_xludf.XLOOKUP(C71,'Master Calendar'!$A$2:$A$6,'Master Calendar'!$C$2:$C$6)=D71,"YES","NO"),"NO"))</f>
        <v/>
      </c>
    </row>
    <row r="72" spans="12:14" x14ac:dyDescent="0.25">
      <c r="L72" t="str">
        <f t="shared" si="1"/>
        <v/>
      </c>
      <c r="N72" t="str">
        <f>IF(OR(C72="",D72=""),"",IFERROR(IF(_xludf.XLOOKUP(C72,'Master Calendar'!$A$2:$A$6,'Master Calendar'!$C$2:$C$6)=D72,"YES","NO"),"NO"))</f>
        <v/>
      </c>
    </row>
    <row r="73" spans="12:14" x14ac:dyDescent="0.25">
      <c r="L73" t="str">
        <f t="shared" si="1"/>
        <v/>
      </c>
      <c r="N73" t="str">
        <f>IF(OR(C73="",D73=""),"",IFERROR(IF(_xludf.XLOOKUP(C73,'Master Calendar'!$A$2:$A$6,'Master Calendar'!$C$2:$C$6)=D73,"YES","NO"),"NO"))</f>
        <v/>
      </c>
    </row>
    <row r="74" spans="12:14" x14ac:dyDescent="0.25">
      <c r="L74" t="str">
        <f t="shared" si="1"/>
        <v/>
      </c>
      <c r="N74" t="str">
        <f>IF(OR(C74="",D74=""),"",IFERROR(IF(_xludf.XLOOKUP(C74,'Master Calendar'!$A$2:$A$6,'Master Calendar'!$C$2:$C$6)=D74,"YES","NO"),"NO"))</f>
        <v/>
      </c>
    </row>
    <row r="75" spans="12:14" x14ac:dyDescent="0.25">
      <c r="L75" t="str">
        <f t="shared" si="1"/>
        <v/>
      </c>
      <c r="N75" t="str">
        <f>IF(OR(C75="",D75=""),"",IFERROR(IF(_xludf.XLOOKUP(C75,'Master Calendar'!$A$2:$A$6,'Master Calendar'!$C$2:$C$6)=D75,"YES","NO"),"NO"))</f>
        <v/>
      </c>
    </row>
    <row r="76" spans="12:14" x14ac:dyDescent="0.25">
      <c r="L76" t="str">
        <f t="shared" si="1"/>
        <v/>
      </c>
      <c r="N76" t="str">
        <f>IF(OR(C76="",D76=""),"",IFERROR(IF(_xludf.XLOOKUP(C76,'Master Calendar'!$A$2:$A$6,'Master Calendar'!$C$2:$C$6)=D76,"YES","NO"),"NO"))</f>
        <v/>
      </c>
    </row>
    <row r="77" spans="12:14" x14ac:dyDescent="0.25">
      <c r="L77" t="str">
        <f t="shared" si="1"/>
        <v/>
      </c>
      <c r="N77" t="str">
        <f>IF(OR(C77="",D77=""),"",IFERROR(IF(_xludf.XLOOKUP(C77,'Master Calendar'!$A$2:$A$6,'Master Calendar'!$C$2:$C$6)=D77,"YES","NO"),"NO"))</f>
        <v/>
      </c>
    </row>
    <row r="78" spans="12:14" x14ac:dyDescent="0.25">
      <c r="L78" t="str">
        <f t="shared" si="1"/>
        <v/>
      </c>
      <c r="N78" t="str">
        <f>IF(OR(C78="",D78=""),"",IFERROR(IF(_xludf.XLOOKUP(C78,'Master Calendar'!$A$2:$A$6,'Master Calendar'!$C$2:$C$6)=D78,"YES","NO"),"NO"))</f>
        <v/>
      </c>
    </row>
    <row r="79" spans="12:14" x14ac:dyDescent="0.25">
      <c r="L79" t="str">
        <f t="shared" si="1"/>
        <v/>
      </c>
      <c r="N79" t="str">
        <f>IF(OR(C79="",D79=""),"",IFERROR(IF(_xludf.XLOOKUP(C79,'Master Calendar'!$A$2:$A$6,'Master Calendar'!$C$2:$C$6)=D79,"YES","NO"),"NO"))</f>
        <v/>
      </c>
    </row>
    <row r="80" spans="12:14" x14ac:dyDescent="0.25">
      <c r="L80" t="str">
        <f t="shared" si="1"/>
        <v/>
      </c>
      <c r="N80" t="str">
        <f>IF(OR(C80="",D80=""),"",IFERROR(IF(_xludf.XLOOKUP(C80,'Master Calendar'!$A$2:$A$6,'Master Calendar'!$C$2:$C$6)=D80,"YES","NO"),"NO"))</f>
        <v/>
      </c>
    </row>
    <row r="81" spans="12:14" x14ac:dyDescent="0.25">
      <c r="L81" t="str">
        <f t="shared" si="1"/>
        <v/>
      </c>
      <c r="N81" t="str">
        <f>IF(OR(C81="",D81=""),"",IFERROR(IF(_xludf.XLOOKUP(C81,'Master Calendar'!$A$2:$A$6,'Master Calendar'!$C$2:$C$6)=D81,"YES","NO"),"NO"))</f>
        <v/>
      </c>
    </row>
    <row r="82" spans="12:14" x14ac:dyDescent="0.25">
      <c r="L82" t="str">
        <f t="shared" si="1"/>
        <v/>
      </c>
      <c r="N82" t="str">
        <f>IF(OR(C82="",D82=""),"",IFERROR(IF(_xludf.XLOOKUP(C82,'Master Calendar'!$A$2:$A$6,'Master Calendar'!$C$2:$C$6)=D82,"YES","NO"),"NO"))</f>
        <v/>
      </c>
    </row>
    <row r="83" spans="12:14" x14ac:dyDescent="0.25">
      <c r="L83" t="str">
        <f t="shared" si="1"/>
        <v/>
      </c>
      <c r="N83" t="str">
        <f>IF(OR(C83="",D83=""),"",IFERROR(IF(_xludf.XLOOKUP(C83,'Master Calendar'!$A$2:$A$6,'Master Calendar'!$C$2:$C$6)=D83,"YES","NO"),"NO"))</f>
        <v/>
      </c>
    </row>
    <row r="84" spans="12:14" x14ac:dyDescent="0.25">
      <c r="L84" t="str">
        <f t="shared" si="1"/>
        <v/>
      </c>
      <c r="N84" t="str">
        <f>IF(OR(C84="",D84=""),"",IFERROR(IF(_xludf.XLOOKUP(C84,'Master Calendar'!$A$2:$A$6,'Master Calendar'!$C$2:$C$6)=D84,"YES","NO"),"NO"))</f>
        <v/>
      </c>
    </row>
    <row r="85" spans="12:14" x14ac:dyDescent="0.25">
      <c r="L85" t="str">
        <f t="shared" si="1"/>
        <v/>
      </c>
      <c r="N85" t="str">
        <f>IF(OR(C85="",D85=""),"",IFERROR(IF(_xludf.XLOOKUP(C85,'Master Calendar'!$A$2:$A$6,'Master Calendar'!$C$2:$C$6)=D85,"YES","NO"),"NO"))</f>
        <v/>
      </c>
    </row>
    <row r="86" spans="12:14" x14ac:dyDescent="0.25">
      <c r="L86" t="str">
        <f t="shared" si="1"/>
        <v/>
      </c>
      <c r="N86" t="str">
        <f>IF(OR(C86="",D86=""),"",IFERROR(IF(_xludf.XLOOKUP(C86,'Master Calendar'!$A$2:$A$6,'Master Calendar'!$C$2:$C$6)=D86,"YES","NO"),"NO"))</f>
        <v/>
      </c>
    </row>
    <row r="87" spans="12:14" x14ac:dyDescent="0.25">
      <c r="L87" t="str">
        <f t="shared" si="1"/>
        <v/>
      </c>
      <c r="N87" t="str">
        <f>IF(OR(C87="",D87=""),"",IFERROR(IF(_xludf.XLOOKUP(C87,'Master Calendar'!$A$2:$A$6,'Master Calendar'!$C$2:$C$6)=D87,"YES","NO"),"NO"))</f>
        <v/>
      </c>
    </row>
    <row r="88" spans="12:14" x14ac:dyDescent="0.25">
      <c r="L88" t="str">
        <f t="shared" si="1"/>
        <v/>
      </c>
      <c r="N88" t="str">
        <f>IF(OR(C88="",D88=""),"",IFERROR(IF(_xludf.XLOOKUP(C88,'Master Calendar'!$A$2:$A$6,'Master Calendar'!$C$2:$C$6)=D88,"YES","NO"),"NO"))</f>
        <v/>
      </c>
    </row>
    <row r="89" spans="12:14" x14ac:dyDescent="0.25">
      <c r="L89" t="str">
        <f t="shared" si="1"/>
        <v/>
      </c>
      <c r="N89" t="str">
        <f>IF(OR(C89="",D89=""),"",IFERROR(IF(_xludf.XLOOKUP(C89,'Master Calendar'!$A$2:$A$6,'Master Calendar'!$C$2:$C$6)=D89,"YES","NO"),"NO"))</f>
        <v/>
      </c>
    </row>
    <row r="90" spans="12:14" x14ac:dyDescent="0.25">
      <c r="L90" t="str">
        <f t="shared" si="1"/>
        <v/>
      </c>
      <c r="N90" t="str">
        <f>IF(OR(C90="",D90=""),"",IFERROR(IF(_xludf.XLOOKUP(C90,'Master Calendar'!$A$2:$A$6,'Master Calendar'!$C$2:$C$6)=D90,"YES","NO"),"NO"))</f>
        <v/>
      </c>
    </row>
    <row r="91" spans="12:14" x14ac:dyDescent="0.25">
      <c r="L91" t="str">
        <f t="shared" si="1"/>
        <v/>
      </c>
      <c r="N91" t="str">
        <f>IF(OR(C91="",D91=""),"",IFERROR(IF(_xludf.XLOOKUP(C91,'Master Calendar'!$A$2:$A$6,'Master Calendar'!$C$2:$C$6)=D91,"YES","NO"),"NO"))</f>
        <v/>
      </c>
    </row>
    <row r="92" spans="12:14" x14ac:dyDescent="0.25">
      <c r="L92" t="str">
        <f t="shared" si="1"/>
        <v/>
      </c>
      <c r="N92" t="str">
        <f>IF(OR(C92="",D92=""),"",IFERROR(IF(_xludf.XLOOKUP(C92,'Master Calendar'!$A$2:$A$6,'Master Calendar'!$C$2:$C$6)=D92,"YES","NO"),"NO"))</f>
        <v/>
      </c>
    </row>
    <row r="93" spans="12:14" x14ac:dyDescent="0.25">
      <c r="L93" t="str">
        <f t="shared" si="1"/>
        <v/>
      </c>
      <c r="N93" t="str">
        <f>IF(OR(C93="",D93=""),"",IFERROR(IF(_xludf.XLOOKUP(C93,'Master Calendar'!$A$2:$A$6,'Master Calendar'!$C$2:$C$6)=D93,"YES","NO"),"NO"))</f>
        <v/>
      </c>
    </row>
    <row r="94" spans="12:14" x14ac:dyDescent="0.25">
      <c r="L94" t="str">
        <f t="shared" si="1"/>
        <v/>
      </c>
      <c r="N94" t="str">
        <f>IF(OR(C94="",D94=""),"",IFERROR(IF(_xludf.XLOOKUP(C94,'Master Calendar'!$A$2:$A$6,'Master Calendar'!$C$2:$C$6)=D94,"YES","NO"),"NO"))</f>
        <v/>
      </c>
    </row>
    <row r="95" spans="12:14" x14ac:dyDescent="0.25">
      <c r="L95" t="str">
        <f t="shared" si="1"/>
        <v/>
      </c>
      <c r="N95" t="str">
        <f>IF(OR(C95="",D95=""),"",IFERROR(IF(_xludf.XLOOKUP(C95,'Master Calendar'!$A$2:$A$6,'Master Calendar'!$C$2:$C$6)=D95,"YES","NO"),"NO"))</f>
        <v/>
      </c>
    </row>
    <row r="96" spans="12:14" x14ac:dyDescent="0.25">
      <c r="L96" t="str">
        <f t="shared" si="1"/>
        <v/>
      </c>
      <c r="N96" t="str">
        <f>IF(OR(C96="",D96=""),"",IFERROR(IF(_xludf.XLOOKUP(C96,'Master Calendar'!$A$2:$A$6,'Master Calendar'!$C$2:$C$6)=D96,"YES","NO"),"NO"))</f>
        <v/>
      </c>
    </row>
    <row r="97" spans="12:14" x14ac:dyDescent="0.25">
      <c r="L97" t="str">
        <f t="shared" si="1"/>
        <v/>
      </c>
      <c r="N97" t="str">
        <f>IF(OR(C97="",D97=""),"",IFERROR(IF(_xludf.XLOOKUP(C97,'Master Calendar'!$A$2:$A$6,'Master Calendar'!$C$2:$C$6)=D97,"YES","NO"),"NO"))</f>
        <v/>
      </c>
    </row>
    <row r="98" spans="12:14" x14ac:dyDescent="0.25">
      <c r="L98" t="str">
        <f t="shared" si="1"/>
        <v/>
      </c>
      <c r="N98" t="str">
        <f>IF(OR(C98="",D98=""),"",IFERROR(IF(_xludf.XLOOKUP(C98,'Master Calendar'!$A$2:$A$6,'Master Calendar'!$C$2:$C$6)=D98,"YES","NO"),"NO"))</f>
        <v/>
      </c>
    </row>
    <row r="99" spans="12:14" x14ac:dyDescent="0.25">
      <c r="L99" t="str">
        <f t="shared" si="1"/>
        <v/>
      </c>
      <c r="N99" t="str">
        <f>IF(OR(C99="",D99=""),"",IFERROR(IF(_xludf.XLOOKUP(C99,'Master Calendar'!$A$2:$A$6,'Master Calendar'!$C$2:$C$6)=D99,"YES","NO"),"NO"))</f>
        <v/>
      </c>
    </row>
    <row r="100" spans="12:14" x14ac:dyDescent="0.25">
      <c r="L100" t="str">
        <f t="shared" si="1"/>
        <v/>
      </c>
      <c r="N100" t="str">
        <f>IF(OR(C100="",D100=""),"",IFERROR(IF(_xludf.XLOOKUP(C100,'Master Calendar'!$A$2:$A$6,'Master Calendar'!$C$2:$C$6)=D100,"YES","NO"),"NO"))</f>
        <v/>
      </c>
    </row>
    <row r="101" spans="12:14" x14ac:dyDescent="0.25">
      <c r="L101" t="str">
        <f t="shared" si="1"/>
        <v/>
      </c>
      <c r="N101" t="str">
        <f>IF(OR(C101="",D101=""),"",IFERROR(IF(_xludf.XLOOKUP(C101,'Master Calendar'!$A$2:$A$6,'Master Calendar'!$C$2:$C$6)=D101,"YES","NO"),"NO"))</f>
        <v/>
      </c>
    </row>
    <row r="102" spans="12:14" x14ac:dyDescent="0.25">
      <c r="L102" t="str">
        <f t="shared" si="1"/>
        <v/>
      </c>
      <c r="N102" t="str">
        <f>IF(OR(C102="",D102=""),"",IFERROR(IF(_xludf.XLOOKUP(C102,'Master Calendar'!$A$2:$A$6,'Master Calendar'!$C$2:$C$6)=D102,"YES","NO"),"NO"))</f>
        <v/>
      </c>
    </row>
    <row r="103" spans="12:14" x14ac:dyDescent="0.25">
      <c r="L103" t="str">
        <f t="shared" si="1"/>
        <v/>
      </c>
      <c r="N103" t="str">
        <f>IF(OR(C103="",D103=""),"",IFERROR(IF(_xludf.XLOOKUP(C103,'Master Calendar'!$A$2:$A$6,'Master Calendar'!$C$2:$C$6)=D103,"YES","NO"),"NO"))</f>
        <v/>
      </c>
    </row>
    <row r="104" spans="12:14" x14ac:dyDescent="0.25">
      <c r="L104" t="str">
        <f t="shared" si="1"/>
        <v/>
      </c>
      <c r="N104" t="str">
        <f>IF(OR(C104="",D104=""),"",IFERROR(IF(_xludf.XLOOKUP(C104,'Master Calendar'!$A$2:$A$6,'Master Calendar'!$C$2:$C$6)=D104,"YES","NO"),"NO"))</f>
        <v/>
      </c>
    </row>
    <row r="105" spans="12:14" x14ac:dyDescent="0.25">
      <c r="L105" t="str">
        <f t="shared" si="1"/>
        <v/>
      </c>
      <c r="N105" t="str">
        <f>IF(OR(C105="",D105=""),"",IFERROR(IF(_xludf.XLOOKUP(C105,'Master Calendar'!$A$2:$A$6,'Master Calendar'!$C$2:$C$6)=D105,"YES","NO"),"NO"))</f>
        <v/>
      </c>
    </row>
    <row r="106" spans="12:14" x14ac:dyDescent="0.25">
      <c r="L106" t="str">
        <f t="shared" si="1"/>
        <v/>
      </c>
      <c r="N106" t="str">
        <f>IF(OR(C106="",D106=""),"",IFERROR(IF(_xludf.XLOOKUP(C106,'Master Calendar'!$A$2:$A$6,'Master Calendar'!$C$2:$C$6)=D106,"YES","NO"),"NO"))</f>
        <v/>
      </c>
    </row>
    <row r="107" spans="12:14" x14ac:dyDescent="0.25">
      <c r="L107" t="str">
        <f t="shared" si="1"/>
        <v/>
      </c>
      <c r="N107" t="str">
        <f>IF(OR(C107="",D107=""),"",IFERROR(IF(_xludf.XLOOKUP(C107,'Master Calendar'!$A$2:$A$6,'Master Calendar'!$C$2:$C$6)=D107,"YES","NO"),"NO"))</f>
        <v/>
      </c>
    </row>
    <row r="108" spans="12:14" x14ac:dyDescent="0.25">
      <c r="L108" t="str">
        <f t="shared" si="1"/>
        <v/>
      </c>
      <c r="N108" t="str">
        <f>IF(OR(C108="",D108=""),"",IFERROR(IF(_xludf.XLOOKUP(C108,'Master Calendar'!$A$2:$A$6,'Master Calendar'!$C$2:$C$6)=D108,"YES","NO"),"NO"))</f>
        <v/>
      </c>
    </row>
    <row r="109" spans="12:14" x14ac:dyDescent="0.25">
      <c r="L109" t="str">
        <f t="shared" si="1"/>
        <v/>
      </c>
      <c r="N109" t="str">
        <f>IF(OR(C109="",D109=""),"",IFERROR(IF(_xludf.XLOOKUP(C109,'Master Calendar'!$A$2:$A$6,'Master Calendar'!$C$2:$C$6)=D109,"YES","NO"),"NO"))</f>
        <v/>
      </c>
    </row>
    <row r="110" spans="12:14" x14ac:dyDescent="0.25">
      <c r="L110" t="str">
        <f t="shared" si="1"/>
        <v/>
      </c>
      <c r="N110" t="str">
        <f>IF(OR(C110="",D110=""),"",IFERROR(IF(_xludf.XLOOKUP(C110,'Master Calendar'!$A$2:$A$6,'Master Calendar'!$C$2:$C$6)=D110,"YES","NO"),"NO"))</f>
        <v/>
      </c>
    </row>
    <row r="111" spans="12:14" x14ac:dyDescent="0.25">
      <c r="L111" t="str">
        <f t="shared" si="1"/>
        <v/>
      </c>
      <c r="N111" t="str">
        <f>IF(OR(C111="",D111=""),"",IFERROR(IF(_xludf.XLOOKUP(C111,'Master Calendar'!$A$2:$A$6,'Master Calendar'!$C$2:$C$6)=D111,"YES","NO"),"NO"))</f>
        <v/>
      </c>
    </row>
    <row r="112" spans="12:14" x14ac:dyDescent="0.25">
      <c r="L112" t="str">
        <f t="shared" si="1"/>
        <v/>
      </c>
      <c r="N112" t="str">
        <f>IF(OR(C112="",D112=""),"",IFERROR(IF(_xludf.XLOOKUP(C112,'Master Calendar'!$A$2:$A$6,'Master Calendar'!$C$2:$C$6)=D112,"YES","NO"),"NO"))</f>
        <v/>
      </c>
    </row>
    <row r="113" spans="12:14" x14ac:dyDescent="0.25">
      <c r="L113" t="str">
        <f t="shared" si="1"/>
        <v/>
      </c>
      <c r="N113" t="str">
        <f>IF(OR(C113="",D113=""),"",IFERROR(IF(_xludf.XLOOKUP(C113,'Master Calendar'!$A$2:$A$6,'Master Calendar'!$C$2:$C$6)=D113,"YES","NO"),"NO"))</f>
        <v/>
      </c>
    </row>
    <row r="114" spans="12:14" x14ac:dyDescent="0.25">
      <c r="L114" t="str">
        <f t="shared" si="1"/>
        <v/>
      </c>
      <c r="N114" t="str">
        <f>IF(OR(C114="",D114=""),"",IFERROR(IF(_xludf.XLOOKUP(C114,'Master Calendar'!$A$2:$A$6,'Master Calendar'!$C$2:$C$6)=D114,"YES","NO"),"NO"))</f>
        <v/>
      </c>
    </row>
    <row r="115" spans="12:14" x14ac:dyDescent="0.25">
      <c r="L115" t="str">
        <f t="shared" si="1"/>
        <v/>
      </c>
      <c r="N115" t="str">
        <f>IF(OR(C115="",D115=""),"",IFERROR(IF(_xludf.XLOOKUP(C115,'Master Calendar'!$A$2:$A$6,'Master Calendar'!$C$2:$C$6)=D115,"YES","NO"),"NO"))</f>
        <v/>
      </c>
    </row>
    <row r="116" spans="12:14" x14ac:dyDescent="0.25">
      <c r="L116" t="str">
        <f t="shared" si="1"/>
        <v/>
      </c>
      <c r="N116" t="str">
        <f>IF(OR(C116="",D116=""),"",IFERROR(IF(_xludf.XLOOKUP(C116,'Master Calendar'!$A$2:$A$6,'Master Calendar'!$C$2:$C$6)=D116,"YES","NO"),"NO"))</f>
        <v/>
      </c>
    </row>
    <row r="117" spans="12:14" x14ac:dyDescent="0.25">
      <c r="L117" t="str">
        <f t="shared" si="1"/>
        <v/>
      </c>
      <c r="N117" t="str">
        <f>IF(OR(C117="",D117=""),"",IFERROR(IF(_xludf.XLOOKUP(C117,'Master Calendar'!$A$2:$A$6,'Master Calendar'!$C$2:$C$6)=D117,"YES","NO"),"NO"))</f>
        <v/>
      </c>
    </row>
    <row r="118" spans="12:14" x14ac:dyDescent="0.25">
      <c r="L118" t="str">
        <f t="shared" si="1"/>
        <v/>
      </c>
      <c r="N118" t="str">
        <f>IF(OR(C118="",D118=""),"",IFERROR(IF(_xludf.XLOOKUP(C118,'Master Calendar'!$A$2:$A$6,'Master Calendar'!$C$2:$C$6)=D118,"YES","NO"),"NO"))</f>
        <v/>
      </c>
    </row>
    <row r="119" spans="12:14" x14ac:dyDescent="0.25">
      <c r="L119" t="str">
        <f t="shared" si="1"/>
        <v/>
      </c>
      <c r="N119" t="str">
        <f>IF(OR(C119="",D119=""),"",IFERROR(IF(_xludf.XLOOKUP(C119,'Master Calendar'!$A$2:$A$6,'Master Calendar'!$C$2:$C$6)=D119,"YES","NO"),"NO"))</f>
        <v/>
      </c>
    </row>
    <row r="120" spans="12:14" x14ac:dyDescent="0.25">
      <c r="L120" t="str">
        <f t="shared" si="1"/>
        <v/>
      </c>
      <c r="N120" t="str">
        <f>IF(OR(C120="",D120=""),"",IFERROR(IF(_xludf.XLOOKUP(C120,'Master Calendar'!$A$2:$A$6,'Master Calendar'!$C$2:$C$6)=D120,"YES","NO"),"NO"))</f>
        <v/>
      </c>
    </row>
    <row r="121" spans="12:14" x14ac:dyDescent="0.25">
      <c r="L121" t="str">
        <f t="shared" si="1"/>
        <v/>
      </c>
      <c r="N121" t="str">
        <f>IF(OR(C121="",D121=""),"",IFERROR(IF(_xludf.XLOOKUP(C121,'Master Calendar'!$A$2:$A$6,'Master Calendar'!$C$2:$C$6)=D121,"YES","NO"),"NO"))</f>
        <v/>
      </c>
    </row>
    <row r="122" spans="12:14" x14ac:dyDescent="0.25">
      <c r="L122" t="str">
        <f t="shared" si="1"/>
        <v/>
      </c>
      <c r="N122" t="str">
        <f>IF(OR(C122="",D122=""),"",IFERROR(IF(_xludf.XLOOKUP(C122,'Master Calendar'!$A$2:$A$6,'Master Calendar'!$C$2:$C$6)=D122,"YES","NO"),"NO"))</f>
        <v/>
      </c>
    </row>
    <row r="123" spans="12:14" x14ac:dyDescent="0.25">
      <c r="L123" t="str">
        <f t="shared" si="1"/>
        <v/>
      </c>
      <c r="N123" t="str">
        <f>IF(OR(C123="",D123=""),"",IFERROR(IF(_xludf.XLOOKUP(C123,'Master Calendar'!$A$2:$A$6,'Master Calendar'!$C$2:$C$6)=D123,"YES","NO"),"NO"))</f>
        <v/>
      </c>
    </row>
    <row r="124" spans="12:14" x14ac:dyDescent="0.25">
      <c r="L124" t="str">
        <f t="shared" si="1"/>
        <v/>
      </c>
      <c r="N124" t="str">
        <f>IF(OR(C124="",D124=""),"",IFERROR(IF(_xludf.XLOOKUP(C124,'Master Calendar'!$A$2:$A$6,'Master Calendar'!$C$2:$C$6)=D124,"YES","NO"),"NO"))</f>
        <v/>
      </c>
    </row>
    <row r="125" spans="12:14" x14ac:dyDescent="0.25">
      <c r="L125" t="str">
        <f t="shared" si="1"/>
        <v/>
      </c>
      <c r="N125" t="str">
        <f>IF(OR(C125="",D125=""),"",IFERROR(IF(_xludf.XLOOKUP(C125,'Master Calendar'!$A$2:$A$6,'Master Calendar'!$C$2:$C$6)=D125,"YES","NO"),"NO"))</f>
        <v/>
      </c>
    </row>
    <row r="126" spans="12:14" x14ac:dyDescent="0.25">
      <c r="L126" t="str">
        <f t="shared" si="1"/>
        <v/>
      </c>
      <c r="N126" t="str">
        <f>IF(OR(C126="",D126=""),"",IFERROR(IF(_xludf.XLOOKUP(C126,'Master Calendar'!$A$2:$A$6,'Master Calendar'!$C$2:$C$6)=D126,"YES","NO"),"NO"))</f>
        <v/>
      </c>
    </row>
    <row r="127" spans="12:14" x14ac:dyDescent="0.25">
      <c r="L127" t="str">
        <f t="shared" si="1"/>
        <v/>
      </c>
      <c r="N127" t="str">
        <f>IF(OR(C127="",D127=""),"",IFERROR(IF(_xludf.XLOOKUP(C127,'Master Calendar'!$A$2:$A$6,'Master Calendar'!$C$2:$C$6)=D127,"YES","NO"),"NO"))</f>
        <v/>
      </c>
    </row>
    <row r="128" spans="12:14" x14ac:dyDescent="0.25">
      <c r="L128" t="str">
        <f t="shared" si="1"/>
        <v/>
      </c>
      <c r="N128" t="str">
        <f>IF(OR(C128="",D128=""),"",IFERROR(IF(_xludf.XLOOKUP(C128,'Master Calendar'!$A$2:$A$6,'Master Calendar'!$C$2:$C$6)=D128,"YES","NO"),"NO"))</f>
        <v/>
      </c>
    </row>
    <row r="129" spans="12:14" x14ac:dyDescent="0.25">
      <c r="L129" t="str">
        <f t="shared" si="1"/>
        <v/>
      </c>
      <c r="N129" t="str">
        <f>IF(OR(C129="",D129=""),"",IFERROR(IF(_xludf.XLOOKUP(C129,'Master Calendar'!$A$2:$A$6,'Master Calendar'!$C$2:$C$6)=D129,"YES","NO"),"NO"))</f>
        <v/>
      </c>
    </row>
    <row r="130" spans="12:14" x14ac:dyDescent="0.25">
      <c r="L130" t="str">
        <f t="shared" ref="L130:L193" si="2">IF(OR(J130="",K130=""),"",K130*J130/100)</f>
        <v/>
      </c>
      <c r="N130" t="str">
        <f>IF(OR(C130="",D130=""),"",IFERROR(IF(_xludf.XLOOKUP(C130,'Master Calendar'!$A$2:$A$6,'Master Calendar'!$C$2:$C$6)=D130,"YES","NO"),"NO"))</f>
        <v/>
      </c>
    </row>
    <row r="131" spans="12:14" x14ac:dyDescent="0.25">
      <c r="L131" t="str">
        <f t="shared" si="2"/>
        <v/>
      </c>
      <c r="N131" t="str">
        <f>IF(OR(C131="",D131=""),"",IFERROR(IF(_xludf.XLOOKUP(C131,'Master Calendar'!$A$2:$A$6,'Master Calendar'!$C$2:$C$6)=D131,"YES","NO"),"NO"))</f>
        <v/>
      </c>
    </row>
    <row r="132" spans="12:14" x14ac:dyDescent="0.25">
      <c r="L132" t="str">
        <f t="shared" si="2"/>
        <v/>
      </c>
      <c r="N132" t="str">
        <f>IF(OR(C132="",D132=""),"",IFERROR(IF(_xludf.XLOOKUP(C132,'Master Calendar'!$A$2:$A$6,'Master Calendar'!$C$2:$C$6)=D132,"YES","NO"),"NO"))</f>
        <v/>
      </c>
    </row>
    <row r="133" spans="12:14" x14ac:dyDescent="0.25">
      <c r="L133" t="str">
        <f t="shared" si="2"/>
        <v/>
      </c>
      <c r="N133" t="str">
        <f>IF(OR(C133="",D133=""),"",IFERROR(IF(_xludf.XLOOKUP(C133,'Master Calendar'!$A$2:$A$6,'Master Calendar'!$C$2:$C$6)=D133,"YES","NO"),"NO"))</f>
        <v/>
      </c>
    </row>
    <row r="134" spans="12:14" x14ac:dyDescent="0.25">
      <c r="L134" t="str">
        <f t="shared" si="2"/>
        <v/>
      </c>
      <c r="N134" t="str">
        <f>IF(OR(C134="",D134=""),"",IFERROR(IF(_xludf.XLOOKUP(C134,'Master Calendar'!$A$2:$A$6,'Master Calendar'!$C$2:$C$6)=D134,"YES","NO"),"NO"))</f>
        <v/>
      </c>
    </row>
    <row r="135" spans="12:14" x14ac:dyDescent="0.25">
      <c r="L135" t="str">
        <f t="shared" si="2"/>
        <v/>
      </c>
      <c r="N135" t="str">
        <f>IF(OR(C135="",D135=""),"",IFERROR(IF(_xludf.XLOOKUP(C135,'Master Calendar'!$A$2:$A$6,'Master Calendar'!$C$2:$C$6)=D135,"YES","NO"),"NO"))</f>
        <v/>
      </c>
    </row>
    <row r="136" spans="12:14" x14ac:dyDescent="0.25">
      <c r="L136" t="str">
        <f t="shared" si="2"/>
        <v/>
      </c>
      <c r="N136" t="str">
        <f>IF(OR(C136="",D136=""),"",IFERROR(IF(_xludf.XLOOKUP(C136,'Master Calendar'!$A$2:$A$6,'Master Calendar'!$C$2:$C$6)=D136,"YES","NO"),"NO"))</f>
        <v/>
      </c>
    </row>
    <row r="137" spans="12:14" x14ac:dyDescent="0.25">
      <c r="L137" t="str">
        <f t="shared" si="2"/>
        <v/>
      </c>
      <c r="N137" t="str">
        <f>IF(OR(C137="",D137=""),"",IFERROR(IF(_xludf.XLOOKUP(C137,'Master Calendar'!$A$2:$A$6,'Master Calendar'!$C$2:$C$6)=D137,"YES","NO"),"NO"))</f>
        <v/>
      </c>
    </row>
    <row r="138" spans="12:14" x14ac:dyDescent="0.25">
      <c r="L138" t="str">
        <f t="shared" si="2"/>
        <v/>
      </c>
      <c r="N138" t="str">
        <f>IF(OR(C138="",D138=""),"",IFERROR(IF(_xludf.XLOOKUP(C138,'Master Calendar'!$A$2:$A$6,'Master Calendar'!$C$2:$C$6)=D138,"YES","NO"),"NO"))</f>
        <v/>
      </c>
    </row>
    <row r="139" spans="12:14" x14ac:dyDescent="0.25">
      <c r="L139" t="str">
        <f t="shared" si="2"/>
        <v/>
      </c>
      <c r="N139" t="str">
        <f>IF(OR(C139="",D139=""),"",IFERROR(IF(_xludf.XLOOKUP(C139,'Master Calendar'!$A$2:$A$6,'Master Calendar'!$C$2:$C$6)=D139,"YES","NO"),"NO"))</f>
        <v/>
      </c>
    </row>
    <row r="140" spans="12:14" x14ac:dyDescent="0.25">
      <c r="L140" t="str">
        <f t="shared" si="2"/>
        <v/>
      </c>
      <c r="N140" t="str">
        <f>IF(OR(C140="",D140=""),"",IFERROR(IF(_xludf.XLOOKUP(C140,'Master Calendar'!$A$2:$A$6,'Master Calendar'!$C$2:$C$6)=D140,"YES","NO"),"NO"))</f>
        <v/>
      </c>
    </row>
    <row r="141" spans="12:14" x14ac:dyDescent="0.25">
      <c r="L141" t="str">
        <f t="shared" si="2"/>
        <v/>
      </c>
      <c r="N141" t="str">
        <f>IF(OR(C141="",D141=""),"",IFERROR(IF(_xludf.XLOOKUP(C141,'Master Calendar'!$A$2:$A$6,'Master Calendar'!$C$2:$C$6)=D141,"YES","NO"),"NO"))</f>
        <v/>
      </c>
    </row>
    <row r="142" spans="12:14" x14ac:dyDescent="0.25">
      <c r="L142" t="str">
        <f t="shared" si="2"/>
        <v/>
      </c>
      <c r="N142" t="str">
        <f>IF(OR(C142="",D142=""),"",IFERROR(IF(_xludf.XLOOKUP(C142,'Master Calendar'!$A$2:$A$6,'Master Calendar'!$C$2:$C$6)=D142,"YES","NO"),"NO"))</f>
        <v/>
      </c>
    </row>
    <row r="143" spans="12:14" x14ac:dyDescent="0.25">
      <c r="L143" t="str">
        <f t="shared" si="2"/>
        <v/>
      </c>
      <c r="N143" t="str">
        <f>IF(OR(C143="",D143=""),"",IFERROR(IF(_xludf.XLOOKUP(C143,'Master Calendar'!$A$2:$A$6,'Master Calendar'!$C$2:$C$6)=D143,"YES","NO"),"NO"))</f>
        <v/>
      </c>
    </row>
    <row r="144" spans="12:14" x14ac:dyDescent="0.25">
      <c r="L144" t="str">
        <f t="shared" si="2"/>
        <v/>
      </c>
      <c r="N144" t="str">
        <f>IF(OR(C144="",D144=""),"",IFERROR(IF(_xludf.XLOOKUP(C144,'Master Calendar'!$A$2:$A$6,'Master Calendar'!$C$2:$C$6)=D144,"YES","NO"),"NO"))</f>
        <v/>
      </c>
    </row>
    <row r="145" spans="12:14" x14ac:dyDescent="0.25">
      <c r="L145" t="str">
        <f t="shared" si="2"/>
        <v/>
      </c>
      <c r="N145" t="str">
        <f>IF(OR(C145="",D145=""),"",IFERROR(IF(_xludf.XLOOKUP(C145,'Master Calendar'!$A$2:$A$6,'Master Calendar'!$C$2:$C$6)=D145,"YES","NO"),"NO"))</f>
        <v/>
      </c>
    </row>
    <row r="146" spans="12:14" x14ac:dyDescent="0.25">
      <c r="L146" t="str">
        <f t="shared" si="2"/>
        <v/>
      </c>
      <c r="N146" t="str">
        <f>IF(OR(C146="",D146=""),"",IFERROR(IF(_xludf.XLOOKUP(C146,'Master Calendar'!$A$2:$A$6,'Master Calendar'!$C$2:$C$6)=D146,"YES","NO"),"NO"))</f>
        <v/>
      </c>
    </row>
    <row r="147" spans="12:14" x14ac:dyDescent="0.25">
      <c r="L147" t="str">
        <f t="shared" si="2"/>
        <v/>
      </c>
      <c r="N147" t="str">
        <f>IF(OR(C147="",D147=""),"",IFERROR(IF(_xludf.XLOOKUP(C147,'Master Calendar'!$A$2:$A$6,'Master Calendar'!$C$2:$C$6)=D147,"YES","NO"),"NO"))</f>
        <v/>
      </c>
    </row>
    <row r="148" spans="12:14" x14ac:dyDescent="0.25">
      <c r="L148" t="str">
        <f t="shared" si="2"/>
        <v/>
      </c>
      <c r="N148" t="str">
        <f>IF(OR(C148="",D148=""),"",IFERROR(IF(_xludf.XLOOKUP(C148,'Master Calendar'!$A$2:$A$6,'Master Calendar'!$C$2:$C$6)=D148,"YES","NO"),"NO"))</f>
        <v/>
      </c>
    </row>
    <row r="149" spans="12:14" x14ac:dyDescent="0.25">
      <c r="L149" t="str">
        <f t="shared" si="2"/>
        <v/>
      </c>
      <c r="N149" t="str">
        <f>IF(OR(C149="",D149=""),"",IFERROR(IF(_xludf.XLOOKUP(C149,'Master Calendar'!$A$2:$A$6,'Master Calendar'!$C$2:$C$6)=D149,"YES","NO"),"NO"))</f>
        <v/>
      </c>
    </row>
    <row r="150" spans="12:14" x14ac:dyDescent="0.25">
      <c r="L150" t="str">
        <f t="shared" si="2"/>
        <v/>
      </c>
      <c r="N150" t="str">
        <f>IF(OR(C150="",D150=""),"",IFERROR(IF(_xludf.XLOOKUP(C150,'Master Calendar'!$A$2:$A$6,'Master Calendar'!$C$2:$C$6)=D150,"YES","NO"),"NO"))</f>
        <v/>
      </c>
    </row>
    <row r="151" spans="12:14" x14ac:dyDescent="0.25">
      <c r="L151" t="str">
        <f t="shared" si="2"/>
        <v/>
      </c>
      <c r="N151" t="str">
        <f>IF(OR(C151="",D151=""),"",IFERROR(IF(_xludf.XLOOKUP(C151,'Master Calendar'!$A$2:$A$6,'Master Calendar'!$C$2:$C$6)=D151,"YES","NO"),"NO"))</f>
        <v/>
      </c>
    </row>
    <row r="152" spans="12:14" x14ac:dyDescent="0.25">
      <c r="L152" t="str">
        <f t="shared" si="2"/>
        <v/>
      </c>
      <c r="N152" t="str">
        <f>IF(OR(C152="",D152=""),"",IFERROR(IF(_xludf.XLOOKUP(C152,'Master Calendar'!$A$2:$A$6,'Master Calendar'!$C$2:$C$6)=D152,"YES","NO"),"NO"))</f>
        <v/>
      </c>
    </row>
    <row r="153" spans="12:14" x14ac:dyDescent="0.25">
      <c r="L153" t="str">
        <f t="shared" si="2"/>
        <v/>
      </c>
      <c r="N153" t="str">
        <f>IF(OR(C153="",D153=""),"",IFERROR(IF(_xludf.XLOOKUP(C153,'Master Calendar'!$A$2:$A$6,'Master Calendar'!$C$2:$C$6)=D153,"YES","NO"),"NO"))</f>
        <v/>
      </c>
    </row>
    <row r="154" spans="12:14" x14ac:dyDescent="0.25">
      <c r="L154" t="str">
        <f t="shared" si="2"/>
        <v/>
      </c>
      <c r="N154" t="str">
        <f>IF(OR(C154="",D154=""),"",IFERROR(IF(_xludf.XLOOKUP(C154,'Master Calendar'!$A$2:$A$6,'Master Calendar'!$C$2:$C$6)=D154,"YES","NO"),"NO"))</f>
        <v/>
      </c>
    </row>
    <row r="155" spans="12:14" x14ac:dyDescent="0.25">
      <c r="L155" t="str">
        <f t="shared" si="2"/>
        <v/>
      </c>
      <c r="N155" t="str">
        <f>IF(OR(C155="",D155=""),"",IFERROR(IF(_xludf.XLOOKUP(C155,'Master Calendar'!$A$2:$A$6,'Master Calendar'!$C$2:$C$6)=D155,"YES","NO"),"NO"))</f>
        <v/>
      </c>
    </row>
    <row r="156" spans="12:14" x14ac:dyDescent="0.25">
      <c r="L156" t="str">
        <f t="shared" si="2"/>
        <v/>
      </c>
      <c r="N156" t="str">
        <f>IF(OR(C156="",D156=""),"",IFERROR(IF(_xludf.XLOOKUP(C156,'Master Calendar'!$A$2:$A$6,'Master Calendar'!$C$2:$C$6)=D156,"YES","NO"),"NO"))</f>
        <v/>
      </c>
    </row>
    <row r="157" spans="12:14" x14ac:dyDescent="0.25">
      <c r="L157" t="str">
        <f t="shared" si="2"/>
        <v/>
      </c>
      <c r="N157" t="str">
        <f>IF(OR(C157="",D157=""),"",IFERROR(IF(_xludf.XLOOKUP(C157,'Master Calendar'!$A$2:$A$6,'Master Calendar'!$C$2:$C$6)=D157,"YES","NO"),"NO"))</f>
        <v/>
      </c>
    </row>
    <row r="158" spans="12:14" x14ac:dyDescent="0.25">
      <c r="L158" t="str">
        <f t="shared" si="2"/>
        <v/>
      </c>
      <c r="N158" t="str">
        <f>IF(OR(C158="",D158=""),"",IFERROR(IF(_xludf.XLOOKUP(C158,'Master Calendar'!$A$2:$A$6,'Master Calendar'!$C$2:$C$6)=D158,"YES","NO"),"NO"))</f>
        <v/>
      </c>
    </row>
    <row r="159" spans="12:14" x14ac:dyDescent="0.25">
      <c r="L159" t="str">
        <f t="shared" si="2"/>
        <v/>
      </c>
      <c r="N159" t="str">
        <f>IF(OR(C159="",D159=""),"",IFERROR(IF(_xludf.XLOOKUP(C159,'Master Calendar'!$A$2:$A$6,'Master Calendar'!$C$2:$C$6)=D159,"YES","NO"),"NO"))</f>
        <v/>
      </c>
    </row>
    <row r="160" spans="12:14" x14ac:dyDescent="0.25">
      <c r="L160" t="str">
        <f t="shared" si="2"/>
        <v/>
      </c>
      <c r="N160" t="str">
        <f>IF(OR(C160="",D160=""),"",IFERROR(IF(_xludf.XLOOKUP(C160,'Master Calendar'!$A$2:$A$6,'Master Calendar'!$C$2:$C$6)=D160,"YES","NO"),"NO"))</f>
        <v/>
      </c>
    </row>
    <row r="161" spans="12:14" x14ac:dyDescent="0.25">
      <c r="L161" t="str">
        <f t="shared" si="2"/>
        <v/>
      </c>
      <c r="N161" t="str">
        <f>IF(OR(C161="",D161=""),"",IFERROR(IF(_xludf.XLOOKUP(C161,'Master Calendar'!$A$2:$A$6,'Master Calendar'!$C$2:$C$6)=D161,"YES","NO"),"NO"))</f>
        <v/>
      </c>
    </row>
    <row r="162" spans="12:14" x14ac:dyDescent="0.25">
      <c r="L162" t="str">
        <f t="shared" si="2"/>
        <v/>
      </c>
      <c r="N162" t="str">
        <f>IF(OR(C162="",D162=""),"",IFERROR(IF(_xludf.XLOOKUP(C162,'Master Calendar'!$A$2:$A$6,'Master Calendar'!$C$2:$C$6)=D162,"YES","NO"),"NO"))</f>
        <v/>
      </c>
    </row>
    <row r="163" spans="12:14" x14ac:dyDescent="0.25">
      <c r="L163" t="str">
        <f t="shared" si="2"/>
        <v/>
      </c>
      <c r="N163" t="str">
        <f>IF(OR(C163="",D163=""),"",IFERROR(IF(_xludf.XLOOKUP(C163,'Master Calendar'!$A$2:$A$6,'Master Calendar'!$C$2:$C$6)=D163,"YES","NO"),"NO"))</f>
        <v/>
      </c>
    </row>
    <row r="164" spans="12:14" x14ac:dyDescent="0.25">
      <c r="L164" t="str">
        <f t="shared" si="2"/>
        <v/>
      </c>
      <c r="N164" t="str">
        <f>IF(OR(C164="",D164=""),"",IFERROR(IF(_xludf.XLOOKUP(C164,'Master Calendar'!$A$2:$A$6,'Master Calendar'!$C$2:$C$6)=D164,"YES","NO"),"NO"))</f>
        <v/>
      </c>
    </row>
    <row r="165" spans="12:14" x14ac:dyDescent="0.25">
      <c r="L165" t="str">
        <f t="shared" si="2"/>
        <v/>
      </c>
      <c r="N165" t="str">
        <f>IF(OR(C165="",D165=""),"",IFERROR(IF(_xludf.XLOOKUP(C165,'Master Calendar'!$A$2:$A$6,'Master Calendar'!$C$2:$C$6)=D165,"YES","NO"),"NO"))</f>
        <v/>
      </c>
    </row>
    <row r="166" spans="12:14" x14ac:dyDescent="0.25">
      <c r="L166" t="str">
        <f t="shared" si="2"/>
        <v/>
      </c>
      <c r="N166" t="str">
        <f>IF(OR(C166="",D166=""),"",IFERROR(IF(_xludf.XLOOKUP(C166,'Master Calendar'!$A$2:$A$6,'Master Calendar'!$C$2:$C$6)=D166,"YES","NO"),"NO"))</f>
        <v/>
      </c>
    </row>
    <row r="167" spans="12:14" x14ac:dyDescent="0.25">
      <c r="L167" t="str">
        <f t="shared" si="2"/>
        <v/>
      </c>
      <c r="N167" t="str">
        <f>IF(OR(C167="",D167=""),"",IFERROR(IF(_xludf.XLOOKUP(C167,'Master Calendar'!$A$2:$A$6,'Master Calendar'!$C$2:$C$6)=D167,"YES","NO"),"NO"))</f>
        <v/>
      </c>
    </row>
    <row r="168" spans="12:14" x14ac:dyDescent="0.25">
      <c r="L168" t="str">
        <f t="shared" si="2"/>
        <v/>
      </c>
      <c r="N168" t="str">
        <f>IF(OR(C168="",D168=""),"",IFERROR(IF(_xludf.XLOOKUP(C168,'Master Calendar'!$A$2:$A$6,'Master Calendar'!$C$2:$C$6)=D168,"YES","NO"),"NO"))</f>
        <v/>
      </c>
    </row>
    <row r="169" spans="12:14" x14ac:dyDescent="0.25">
      <c r="L169" t="str">
        <f t="shared" si="2"/>
        <v/>
      </c>
      <c r="N169" t="str">
        <f>IF(OR(C169="",D169=""),"",IFERROR(IF(_xludf.XLOOKUP(C169,'Master Calendar'!$A$2:$A$6,'Master Calendar'!$C$2:$C$6)=D169,"YES","NO"),"NO"))</f>
        <v/>
      </c>
    </row>
    <row r="170" spans="12:14" x14ac:dyDescent="0.25">
      <c r="L170" t="str">
        <f t="shared" si="2"/>
        <v/>
      </c>
      <c r="N170" t="str">
        <f>IF(OR(C170="",D170=""),"",IFERROR(IF(_xludf.XLOOKUP(C170,'Master Calendar'!$A$2:$A$6,'Master Calendar'!$C$2:$C$6)=D170,"YES","NO"),"NO"))</f>
        <v/>
      </c>
    </row>
    <row r="171" spans="12:14" x14ac:dyDescent="0.25">
      <c r="L171" t="str">
        <f t="shared" si="2"/>
        <v/>
      </c>
      <c r="N171" t="str">
        <f>IF(OR(C171="",D171=""),"",IFERROR(IF(_xludf.XLOOKUP(C171,'Master Calendar'!$A$2:$A$6,'Master Calendar'!$C$2:$C$6)=D171,"YES","NO"),"NO"))</f>
        <v/>
      </c>
    </row>
    <row r="172" spans="12:14" x14ac:dyDescent="0.25">
      <c r="L172" t="str">
        <f t="shared" si="2"/>
        <v/>
      </c>
      <c r="N172" t="str">
        <f>IF(OR(C172="",D172=""),"",IFERROR(IF(_xludf.XLOOKUP(C172,'Master Calendar'!$A$2:$A$6,'Master Calendar'!$C$2:$C$6)=D172,"YES","NO"),"NO"))</f>
        <v/>
      </c>
    </row>
    <row r="173" spans="12:14" x14ac:dyDescent="0.25">
      <c r="L173" t="str">
        <f t="shared" si="2"/>
        <v/>
      </c>
      <c r="N173" t="str">
        <f>IF(OR(C173="",D173=""),"",IFERROR(IF(_xludf.XLOOKUP(C173,'Master Calendar'!$A$2:$A$6,'Master Calendar'!$C$2:$C$6)=D173,"YES","NO"),"NO"))</f>
        <v/>
      </c>
    </row>
    <row r="174" spans="12:14" x14ac:dyDescent="0.25">
      <c r="L174" t="str">
        <f t="shared" si="2"/>
        <v/>
      </c>
      <c r="N174" t="str">
        <f>IF(OR(C174="",D174=""),"",IFERROR(IF(_xludf.XLOOKUP(C174,'Master Calendar'!$A$2:$A$6,'Master Calendar'!$C$2:$C$6)=D174,"YES","NO"),"NO"))</f>
        <v/>
      </c>
    </row>
    <row r="175" spans="12:14" x14ac:dyDescent="0.25">
      <c r="L175" t="str">
        <f t="shared" si="2"/>
        <v/>
      </c>
      <c r="N175" t="str">
        <f>IF(OR(C175="",D175=""),"",IFERROR(IF(_xludf.XLOOKUP(C175,'Master Calendar'!$A$2:$A$6,'Master Calendar'!$C$2:$C$6)=D175,"YES","NO"),"NO"))</f>
        <v/>
      </c>
    </row>
    <row r="176" spans="12:14" x14ac:dyDescent="0.25">
      <c r="L176" t="str">
        <f t="shared" si="2"/>
        <v/>
      </c>
      <c r="N176" t="str">
        <f>IF(OR(C176="",D176=""),"",IFERROR(IF(_xludf.XLOOKUP(C176,'Master Calendar'!$A$2:$A$6,'Master Calendar'!$C$2:$C$6)=D176,"YES","NO"),"NO"))</f>
        <v/>
      </c>
    </row>
    <row r="177" spans="12:14" x14ac:dyDescent="0.25">
      <c r="L177" t="str">
        <f t="shared" si="2"/>
        <v/>
      </c>
      <c r="N177" t="str">
        <f>IF(OR(C177="",D177=""),"",IFERROR(IF(_xludf.XLOOKUP(C177,'Master Calendar'!$A$2:$A$6,'Master Calendar'!$C$2:$C$6)=D177,"YES","NO"),"NO"))</f>
        <v/>
      </c>
    </row>
    <row r="178" spans="12:14" x14ac:dyDescent="0.25">
      <c r="L178" t="str">
        <f t="shared" si="2"/>
        <v/>
      </c>
      <c r="N178" t="str">
        <f>IF(OR(C178="",D178=""),"",IFERROR(IF(_xludf.XLOOKUP(C178,'Master Calendar'!$A$2:$A$6,'Master Calendar'!$C$2:$C$6)=D178,"YES","NO"),"NO"))</f>
        <v/>
      </c>
    </row>
    <row r="179" spans="12:14" x14ac:dyDescent="0.25">
      <c r="L179" t="str">
        <f t="shared" si="2"/>
        <v/>
      </c>
      <c r="N179" t="str">
        <f>IF(OR(C179="",D179=""),"",IFERROR(IF(_xludf.XLOOKUP(C179,'Master Calendar'!$A$2:$A$6,'Master Calendar'!$C$2:$C$6)=D179,"YES","NO"),"NO"))</f>
        <v/>
      </c>
    </row>
    <row r="180" spans="12:14" x14ac:dyDescent="0.25">
      <c r="L180" t="str">
        <f t="shared" si="2"/>
        <v/>
      </c>
      <c r="N180" t="str">
        <f>IF(OR(C180="",D180=""),"",IFERROR(IF(_xludf.XLOOKUP(C180,'Master Calendar'!$A$2:$A$6,'Master Calendar'!$C$2:$C$6)=D180,"YES","NO"),"NO"))</f>
        <v/>
      </c>
    </row>
    <row r="181" spans="12:14" x14ac:dyDescent="0.25">
      <c r="L181" t="str">
        <f t="shared" si="2"/>
        <v/>
      </c>
      <c r="N181" t="str">
        <f>IF(OR(C181="",D181=""),"",IFERROR(IF(_xludf.XLOOKUP(C181,'Master Calendar'!$A$2:$A$6,'Master Calendar'!$C$2:$C$6)=D181,"YES","NO"),"NO"))</f>
        <v/>
      </c>
    </row>
    <row r="182" spans="12:14" x14ac:dyDescent="0.25">
      <c r="L182" t="str">
        <f t="shared" si="2"/>
        <v/>
      </c>
      <c r="N182" t="str">
        <f>IF(OR(C182="",D182=""),"",IFERROR(IF(_xludf.XLOOKUP(C182,'Master Calendar'!$A$2:$A$6,'Master Calendar'!$C$2:$C$6)=D182,"YES","NO"),"NO"))</f>
        <v/>
      </c>
    </row>
    <row r="183" spans="12:14" x14ac:dyDescent="0.25">
      <c r="L183" t="str">
        <f t="shared" si="2"/>
        <v/>
      </c>
      <c r="N183" t="str">
        <f>IF(OR(C183="",D183=""),"",IFERROR(IF(_xludf.XLOOKUP(C183,'Master Calendar'!$A$2:$A$6,'Master Calendar'!$C$2:$C$6)=D183,"YES","NO"),"NO"))</f>
        <v/>
      </c>
    </row>
    <row r="184" spans="12:14" x14ac:dyDescent="0.25">
      <c r="L184" t="str">
        <f t="shared" si="2"/>
        <v/>
      </c>
      <c r="N184" t="str">
        <f>IF(OR(C184="",D184=""),"",IFERROR(IF(_xludf.XLOOKUP(C184,'Master Calendar'!$A$2:$A$6,'Master Calendar'!$C$2:$C$6)=D184,"YES","NO"),"NO"))</f>
        <v/>
      </c>
    </row>
    <row r="185" spans="12:14" x14ac:dyDescent="0.25">
      <c r="L185" t="str">
        <f t="shared" si="2"/>
        <v/>
      </c>
      <c r="N185" t="str">
        <f>IF(OR(C185="",D185=""),"",IFERROR(IF(_xludf.XLOOKUP(C185,'Master Calendar'!$A$2:$A$6,'Master Calendar'!$C$2:$C$6)=D185,"YES","NO"),"NO"))</f>
        <v/>
      </c>
    </row>
    <row r="186" spans="12:14" x14ac:dyDescent="0.25">
      <c r="L186" t="str">
        <f t="shared" si="2"/>
        <v/>
      </c>
      <c r="N186" t="str">
        <f>IF(OR(C186="",D186=""),"",IFERROR(IF(_xludf.XLOOKUP(C186,'Master Calendar'!$A$2:$A$6,'Master Calendar'!$C$2:$C$6)=D186,"YES","NO"),"NO"))</f>
        <v/>
      </c>
    </row>
    <row r="187" spans="12:14" x14ac:dyDescent="0.25">
      <c r="L187" t="str">
        <f t="shared" si="2"/>
        <v/>
      </c>
      <c r="N187" t="str">
        <f>IF(OR(C187="",D187=""),"",IFERROR(IF(_xludf.XLOOKUP(C187,'Master Calendar'!$A$2:$A$6,'Master Calendar'!$C$2:$C$6)=D187,"YES","NO"),"NO"))</f>
        <v/>
      </c>
    </row>
    <row r="188" spans="12:14" x14ac:dyDescent="0.25">
      <c r="L188" t="str">
        <f t="shared" si="2"/>
        <v/>
      </c>
      <c r="N188" t="str">
        <f>IF(OR(C188="",D188=""),"",IFERROR(IF(_xludf.XLOOKUP(C188,'Master Calendar'!$A$2:$A$6,'Master Calendar'!$C$2:$C$6)=D188,"YES","NO"),"NO"))</f>
        <v/>
      </c>
    </row>
    <row r="189" spans="12:14" x14ac:dyDescent="0.25">
      <c r="L189" t="str">
        <f t="shared" si="2"/>
        <v/>
      </c>
      <c r="N189" t="str">
        <f>IF(OR(C189="",D189=""),"",IFERROR(IF(_xludf.XLOOKUP(C189,'Master Calendar'!$A$2:$A$6,'Master Calendar'!$C$2:$C$6)=D189,"YES","NO"),"NO"))</f>
        <v/>
      </c>
    </row>
    <row r="190" spans="12:14" x14ac:dyDescent="0.25">
      <c r="L190" t="str">
        <f t="shared" si="2"/>
        <v/>
      </c>
      <c r="N190" t="str">
        <f>IF(OR(C190="",D190=""),"",IFERROR(IF(_xludf.XLOOKUP(C190,'Master Calendar'!$A$2:$A$6,'Master Calendar'!$C$2:$C$6)=D190,"YES","NO"),"NO"))</f>
        <v/>
      </c>
    </row>
    <row r="191" spans="12:14" x14ac:dyDescent="0.25">
      <c r="L191" t="str">
        <f t="shared" si="2"/>
        <v/>
      </c>
      <c r="N191" t="str">
        <f>IF(OR(C191="",D191=""),"",IFERROR(IF(_xludf.XLOOKUP(C191,'Master Calendar'!$A$2:$A$6,'Master Calendar'!$C$2:$C$6)=D191,"YES","NO"),"NO"))</f>
        <v/>
      </c>
    </row>
    <row r="192" spans="12:14" x14ac:dyDescent="0.25">
      <c r="L192" t="str">
        <f t="shared" si="2"/>
        <v/>
      </c>
      <c r="N192" t="str">
        <f>IF(OR(C192="",D192=""),"",IFERROR(IF(_xludf.XLOOKUP(C192,'Master Calendar'!$A$2:$A$6,'Master Calendar'!$C$2:$C$6)=D192,"YES","NO"),"NO"))</f>
        <v/>
      </c>
    </row>
    <row r="193" spans="12:14" x14ac:dyDescent="0.25">
      <c r="L193" t="str">
        <f t="shared" si="2"/>
        <v/>
      </c>
      <c r="N193" t="str">
        <f>IF(OR(C193="",D193=""),"",IFERROR(IF(_xludf.XLOOKUP(C193,'Master Calendar'!$A$2:$A$6,'Master Calendar'!$C$2:$C$6)=D193,"YES","NO"),"NO"))</f>
        <v/>
      </c>
    </row>
    <row r="194" spans="12:14" x14ac:dyDescent="0.25">
      <c r="L194" t="str">
        <f t="shared" ref="L194:L257" si="3">IF(OR(J194="",K194=""),"",K194*J194/100)</f>
        <v/>
      </c>
      <c r="N194" t="str">
        <f>IF(OR(C194="",D194=""),"",IFERROR(IF(_xludf.XLOOKUP(C194,'Master Calendar'!$A$2:$A$6,'Master Calendar'!$C$2:$C$6)=D194,"YES","NO"),"NO"))</f>
        <v/>
      </c>
    </row>
    <row r="195" spans="12:14" x14ac:dyDescent="0.25">
      <c r="L195" t="str">
        <f t="shared" si="3"/>
        <v/>
      </c>
      <c r="N195" t="str">
        <f>IF(OR(C195="",D195=""),"",IFERROR(IF(_xludf.XLOOKUP(C195,'Master Calendar'!$A$2:$A$6,'Master Calendar'!$C$2:$C$6)=D195,"YES","NO"),"NO"))</f>
        <v/>
      </c>
    </row>
    <row r="196" spans="12:14" x14ac:dyDescent="0.25">
      <c r="L196" t="str">
        <f t="shared" si="3"/>
        <v/>
      </c>
      <c r="N196" t="str">
        <f>IF(OR(C196="",D196=""),"",IFERROR(IF(_xludf.XLOOKUP(C196,'Master Calendar'!$A$2:$A$6,'Master Calendar'!$C$2:$C$6)=D196,"YES","NO"),"NO"))</f>
        <v/>
      </c>
    </row>
    <row r="197" spans="12:14" x14ac:dyDescent="0.25">
      <c r="L197" t="str">
        <f t="shared" si="3"/>
        <v/>
      </c>
      <c r="N197" t="str">
        <f>IF(OR(C197="",D197=""),"",IFERROR(IF(_xludf.XLOOKUP(C197,'Master Calendar'!$A$2:$A$6,'Master Calendar'!$C$2:$C$6)=D197,"YES","NO"),"NO"))</f>
        <v/>
      </c>
    </row>
    <row r="198" spans="12:14" x14ac:dyDescent="0.25">
      <c r="L198" t="str">
        <f t="shared" si="3"/>
        <v/>
      </c>
      <c r="N198" t="str">
        <f>IF(OR(C198="",D198=""),"",IFERROR(IF(_xludf.XLOOKUP(C198,'Master Calendar'!$A$2:$A$6,'Master Calendar'!$C$2:$C$6)=D198,"YES","NO"),"NO"))</f>
        <v/>
      </c>
    </row>
    <row r="199" spans="12:14" x14ac:dyDescent="0.25">
      <c r="L199" t="str">
        <f t="shared" si="3"/>
        <v/>
      </c>
      <c r="N199" t="str">
        <f>IF(OR(C199="",D199=""),"",IFERROR(IF(_xludf.XLOOKUP(C199,'Master Calendar'!$A$2:$A$6,'Master Calendar'!$C$2:$C$6)=D199,"YES","NO"),"NO"))</f>
        <v/>
      </c>
    </row>
    <row r="200" spans="12:14" x14ac:dyDescent="0.25">
      <c r="L200" t="str">
        <f t="shared" si="3"/>
        <v/>
      </c>
      <c r="N200" t="str">
        <f>IF(OR(C200="",D200=""),"",IFERROR(IF(_xludf.XLOOKUP(C200,'Master Calendar'!$A$2:$A$6,'Master Calendar'!$C$2:$C$6)=D200,"YES","NO"),"NO"))</f>
        <v/>
      </c>
    </row>
    <row r="201" spans="12:14" x14ac:dyDescent="0.25">
      <c r="L201" t="str">
        <f t="shared" si="3"/>
        <v/>
      </c>
      <c r="N201" t="str">
        <f>IF(OR(C201="",D201=""),"",IFERROR(IF(_xludf.XLOOKUP(C201,'Master Calendar'!$A$2:$A$6,'Master Calendar'!$C$2:$C$6)=D201,"YES","NO"),"NO"))</f>
        <v/>
      </c>
    </row>
    <row r="202" spans="12:14" x14ac:dyDescent="0.25">
      <c r="L202" t="str">
        <f t="shared" si="3"/>
        <v/>
      </c>
      <c r="N202" t="str">
        <f>IF(OR(C202="",D202=""),"",IFERROR(IF(_xludf.XLOOKUP(C202,'Master Calendar'!$A$2:$A$6,'Master Calendar'!$C$2:$C$6)=D202,"YES","NO"),"NO"))</f>
        <v/>
      </c>
    </row>
    <row r="203" spans="12:14" x14ac:dyDescent="0.25">
      <c r="L203" t="str">
        <f t="shared" si="3"/>
        <v/>
      </c>
      <c r="N203" t="str">
        <f>IF(OR(C203="",D203=""),"",IFERROR(IF(_xludf.XLOOKUP(C203,'Master Calendar'!$A$2:$A$6,'Master Calendar'!$C$2:$C$6)=D203,"YES","NO"),"NO"))</f>
        <v/>
      </c>
    </row>
    <row r="204" spans="12:14" x14ac:dyDescent="0.25">
      <c r="L204" t="str">
        <f t="shared" si="3"/>
        <v/>
      </c>
      <c r="N204" t="str">
        <f>IF(OR(C204="",D204=""),"",IFERROR(IF(_xludf.XLOOKUP(C204,'Master Calendar'!$A$2:$A$6,'Master Calendar'!$C$2:$C$6)=D204,"YES","NO"),"NO"))</f>
        <v/>
      </c>
    </row>
    <row r="205" spans="12:14" x14ac:dyDescent="0.25">
      <c r="L205" t="str">
        <f t="shared" si="3"/>
        <v/>
      </c>
      <c r="N205" t="str">
        <f>IF(OR(C205="",D205=""),"",IFERROR(IF(_xludf.XLOOKUP(C205,'Master Calendar'!$A$2:$A$6,'Master Calendar'!$C$2:$C$6)=D205,"YES","NO"),"NO"))</f>
        <v/>
      </c>
    </row>
    <row r="206" spans="12:14" x14ac:dyDescent="0.25">
      <c r="L206" t="str">
        <f t="shared" si="3"/>
        <v/>
      </c>
      <c r="N206" t="str">
        <f>IF(OR(C206="",D206=""),"",IFERROR(IF(_xludf.XLOOKUP(C206,'Master Calendar'!$A$2:$A$6,'Master Calendar'!$C$2:$C$6)=D206,"YES","NO"),"NO"))</f>
        <v/>
      </c>
    </row>
    <row r="207" spans="12:14" x14ac:dyDescent="0.25">
      <c r="L207" t="str">
        <f t="shared" si="3"/>
        <v/>
      </c>
      <c r="N207" t="str">
        <f>IF(OR(C207="",D207=""),"",IFERROR(IF(_xludf.XLOOKUP(C207,'Master Calendar'!$A$2:$A$6,'Master Calendar'!$C$2:$C$6)=D207,"YES","NO"),"NO"))</f>
        <v/>
      </c>
    </row>
    <row r="208" spans="12:14" x14ac:dyDescent="0.25">
      <c r="L208" t="str">
        <f t="shared" si="3"/>
        <v/>
      </c>
      <c r="N208" t="str">
        <f>IF(OR(C208="",D208=""),"",IFERROR(IF(_xludf.XLOOKUP(C208,'Master Calendar'!$A$2:$A$6,'Master Calendar'!$C$2:$C$6)=D208,"YES","NO"),"NO"))</f>
        <v/>
      </c>
    </row>
    <row r="209" spans="12:14" x14ac:dyDescent="0.25">
      <c r="L209" t="str">
        <f t="shared" si="3"/>
        <v/>
      </c>
      <c r="N209" t="str">
        <f>IF(OR(C209="",D209=""),"",IFERROR(IF(_xludf.XLOOKUP(C209,'Master Calendar'!$A$2:$A$6,'Master Calendar'!$C$2:$C$6)=D209,"YES","NO"),"NO"))</f>
        <v/>
      </c>
    </row>
    <row r="210" spans="12:14" x14ac:dyDescent="0.25">
      <c r="L210" t="str">
        <f t="shared" si="3"/>
        <v/>
      </c>
      <c r="N210" t="str">
        <f>IF(OR(C210="",D210=""),"",IFERROR(IF(_xludf.XLOOKUP(C210,'Master Calendar'!$A$2:$A$6,'Master Calendar'!$C$2:$C$6)=D210,"YES","NO"),"NO"))</f>
        <v/>
      </c>
    </row>
    <row r="211" spans="12:14" x14ac:dyDescent="0.25">
      <c r="L211" t="str">
        <f t="shared" si="3"/>
        <v/>
      </c>
      <c r="N211" t="str">
        <f>IF(OR(C211="",D211=""),"",IFERROR(IF(_xludf.XLOOKUP(C211,'Master Calendar'!$A$2:$A$6,'Master Calendar'!$C$2:$C$6)=D211,"YES","NO"),"NO"))</f>
        <v/>
      </c>
    </row>
    <row r="212" spans="12:14" x14ac:dyDescent="0.25">
      <c r="L212" t="str">
        <f t="shared" si="3"/>
        <v/>
      </c>
      <c r="N212" t="str">
        <f>IF(OR(C212="",D212=""),"",IFERROR(IF(_xludf.XLOOKUP(C212,'Master Calendar'!$A$2:$A$6,'Master Calendar'!$C$2:$C$6)=D212,"YES","NO"),"NO"))</f>
        <v/>
      </c>
    </row>
    <row r="213" spans="12:14" x14ac:dyDescent="0.25">
      <c r="L213" t="str">
        <f t="shared" si="3"/>
        <v/>
      </c>
      <c r="N213" t="str">
        <f>IF(OR(C213="",D213=""),"",IFERROR(IF(_xludf.XLOOKUP(C213,'Master Calendar'!$A$2:$A$6,'Master Calendar'!$C$2:$C$6)=D213,"YES","NO"),"NO"))</f>
        <v/>
      </c>
    </row>
    <row r="214" spans="12:14" x14ac:dyDescent="0.25">
      <c r="L214" t="str">
        <f t="shared" si="3"/>
        <v/>
      </c>
      <c r="N214" t="str">
        <f>IF(OR(C214="",D214=""),"",IFERROR(IF(_xludf.XLOOKUP(C214,'Master Calendar'!$A$2:$A$6,'Master Calendar'!$C$2:$C$6)=D214,"YES","NO"),"NO"))</f>
        <v/>
      </c>
    </row>
    <row r="215" spans="12:14" x14ac:dyDescent="0.25">
      <c r="L215" t="str">
        <f t="shared" si="3"/>
        <v/>
      </c>
      <c r="N215" t="str">
        <f>IF(OR(C215="",D215=""),"",IFERROR(IF(_xludf.XLOOKUP(C215,'Master Calendar'!$A$2:$A$6,'Master Calendar'!$C$2:$C$6)=D215,"YES","NO"),"NO"))</f>
        <v/>
      </c>
    </row>
    <row r="216" spans="12:14" x14ac:dyDescent="0.25">
      <c r="L216" t="str">
        <f t="shared" si="3"/>
        <v/>
      </c>
      <c r="N216" t="str">
        <f>IF(OR(C216="",D216=""),"",IFERROR(IF(_xludf.XLOOKUP(C216,'Master Calendar'!$A$2:$A$6,'Master Calendar'!$C$2:$C$6)=D216,"YES","NO"),"NO"))</f>
        <v/>
      </c>
    </row>
    <row r="217" spans="12:14" x14ac:dyDescent="0.25">
      <c r="L217" t="str">
        <f t="shared" si="3"/>
        <v/>
      </c>
      <c r="N217" t="str">
        <f>IF(OR(C217="",D217=""),"",IFERROR(IF(_xludf.XLOOKUP(C217,'Master Calendar'!$A$2:$A$6,'Master Calendar'!$C$2:$C$6)=D217,"YES","NO"),"NO"))</f>
        <v/>
      </c>
    </row>
    <row r="218" spans="12:14" x14ac:dyDescent="0.25">
      <c r="L218" t="str">
        <f t="shared" si="3"/>
        <v/>
      </c>
      <c r="N218" t="str">
        <f>IF(OR(C218="",D218=""),"",IFERROR(IF(_xludf.XLOOKUP(C218,'Master Calendar'!$A$2:$A$6,'Master Calendar'!$C$2:$C$6)=D218,"YES","NO"),"NO"))</f>
        <v/>
      </c>
    </row>
    <row r="219" spans="12:14" x14ac:dyDescent="0.25">
      <c r="L219" t="str">
        <f t="shared" si="3"/>
        <v/>
      </c>
      <c r="N219" t="str">
        <f>IF(OR(C219="",D219=""),"",IFERROR(IF(_xludf.XLOOKUP(C219,'Master Calendar'!$A$2:$A$6,'Master Calendar'!$C$2:$C$6)=D219,"YES","NO"),"NO"))</f>
        <v/>
      </c>
    </row>
    <row r="220" spans="12:14" x14ac:dyDescent="0.25">
      <c r="L220" t="str">
        <f t="shared" si="3"/>
        <v/>
      </c>
      <c r="N220" t="str">
        <f>IF(OR(C220="",D220=""),"",IFERROR(IF(_xludf.XLOOKUP(C220,'Master Calendar'!$A$2:$A$6,'Master Calendar'!$C$2:$C$6)=D220,"YES","NO"),"NO"))</f>
        <v/>
      </c>
    </row>
    <row r="221" spans="12:14" x14ac:dyDescent="0.25">
      <c r="L221" t="str">
        <f t="shared" si="3"/>
        <v/>
      </c>
      <c r="N221" t="str">
        <f>IF(OR(C221="",D221=""),"",IFERROR(IF(_xludf.XLOOKUP(C221,'Master Calendar'!$A$2:$A$6,'Master Calendar'!$C$2:$C$6)=D221,"YES","NO"),"NO"))</f>
        <v/>
      </c>
    </row>
    <row r="222" spans="12:14" x14ac:dyDescent="0.25">
      <c r="L222" t="str">
        <f t="shared" si="3"/>
        <v/>
      </c>
      <c r="N222" t="str">
        <f>IF(OR(C222="",D222=""),"",IFERROR(IF(_xludf.XLOOKUP(C222,'Master Calendar'!$A$2:$A$6,'Master Calendar'!$C$2:$C$6)=D222,"YES","NO"),"NO"))</f>
        <v/>
      </c>
    </row>
    <row r="223" spans="12:14" x14ac:dyDescent="0.25">
      <c r="L223" t="str">
        <f t="shared" si="3"/>
        <v/>
      </c>
      <c r="N223" t="str">
        <f>IF(OR(C223="",D223=""),"",IFERROR(IF(_xludf.XLOOKUP(C223,'Master Calendar'!$A$2:$A$6,'Master Calendar'!$C$2:$C$6)=D223,"YES","NO"),"NO"))</f>
        <v/>
      </c>
    </row>
    <row r="224" spans="12:14" x14ac:dyDescent="0.25">
      <c r="L224" t="str">
        <f t="shared" si="3"/>
        <v/>
      </c>
      <c r="N224" t="str">
        <f>IF(OR(C224="",D224=""),"",IFERROR(IF(_xludf.XLOOKUP(C224,'Master Calendar'!$A$2:$A$6,'Master Calendar'!$C$2:$C$6)=D224,"YES","NO"),"NO"))</f>
        <v/>
      </c>
    </row>
    <row r="225" spans="12:14" x14ac:dyDescent="0.25">
      <c r="L225" t="str">
        <f t="shared" si="3"/>
        <v/>
      </c>
      <c r="N225" t="str">
        <f>IF(OR(C225="",D225=""),"",IFERROR(IF(_xludf.XLOOKUP(C225,'Master Calendar'!$A$2:$A$6,'Master Calendar'!$C$2:$C$6)=D225,"YES","NO"),"NO"))</f>
        <v/>
      </c>
    </row>
    <row r="226" spans="12:14" x14ac:dyDescent="0.25">
      <c r="L226" t="str">
        <f t="shared" si="3"/>
        <v/>
      </c>
      <c r="N226" t="str">
        <f>IF(OR(C226="",D226=""),"",IFERROR(IF(_xludf.XLOOKUP(C226,'Master Calendar'!$A$2:$A$6,'Master Calendar'!$C$2:$C$6)=D226,"YES","NO"),"NO"))</f>
        <v/>
      </c>
    </row>
    <row r="227" spans="12:14" x14ac:dyDescent="0.25">
      <c r="L227" t="str">
        <f t="shared" si="3"/>
        <v/>
      </c>
      <c r="N227" t="str">
        <f>IF(OR(C227="",D227=""),"",IFERROR(IF(_xludf.XLOOKUP(C227,'Master Calendar'!$A$2:$A$6,'Master Calendar'!$C$2:$C$6)=D227,"YES","NO"),"NO"))</f>
        <v/>
      </c>
    </row>
    <row r="228" spans="12:14" x14ac:dyDescent="0.25">
      <c r="L228" t="str">
        <f t="shared" si="3"/>
        <v/>
      </c>
      <c r="N228" t="str">
        <f>IF(OR(C228="",D228=""),"",IFERROR(IF(_xludf.XLOOKUP(C228,'Master Calendar'!$A$2:$A$6,'Master Calendar'!$C$2:$C$6)=D228,"YES","NO"),"NO"))</f>
        <v/>
      </c>
    </row>
    <row r="229" spans="12:14" x14ac:dyDescent="0.25">
      <c r="L229" t="str">
        <f t="shared" si="3"/>
        <v/>
      </c>
      <c r="N229" t="str">
        <f>IF(OR(C229="",D229=""),"",IFERROR(IF(_xludf.XLOOKUP(C229,'Master Calendar'!$A$2:$A$6,'Master Calendar'!$C$2:$C$6)=D229,"YES","NO"),"NO"))</f>
        <v/>
      </c>
    </row>
    <row r="230" spans="12:14" x14ac:dyDescent="0.25">
      <c r="L230" t="str">
        <f t="shared" si="3"/>
        <v/>
      </c>
      <c r="N230" t="str">
        <f>IF(OR(C230="",D230=""),"",IFERROR(IF(_xludf.XLOOKUP(C230,'Master Calendar'!$A$2:$A$6,'Master Calendar'!$C$2:$C$6)=D230,"YES","NO"),"NO"))</f>
        <v/>
      </c>
    </row>
    <row r="231" spans="12:14" x14ac:dyDescent="0.25">
      <c r="L231" t="str">
        <f t="shared" si="3"/>
        <v/>
      </c>
      <c r="N231" t="str">
        <f>IF(OR(C231="",D231=""),"",IFERROR(IF(_xludf.XLOOKUP(C231,'Master Calendar'!$A$2:$A$6,'Master Calendar'!$C$2:$C$6)=D231,"YES","NO"),"NO"))</f>
        <v/>
      </c>
    </row>
    <row r="232" spans="12:14" x14ac:dyDescent="0.25">
      <c r="L232" t="str">
        <f t="shared" si="3"/>
        <v/>
      </c>
      <c r="N232" t="str">
        <f>IF(OR(C232="",D232=""),"",IFERROR(IF(_xludf.XLOOKUP(C232,'Master Calendar'!$A$2:$A$6,'Master Calendar'!$C$2:$C$6)=D232,"YES","NO"),"NO"))</f>
        <v/>
      </c>
    </row>
    <row r="233" spans="12:14" x14ac:dyDescent="0.25">
      <c r="L233" t="str">
        <f t="shared" si="3"/>
        <v/>
      </c>
      <c r="N233" t="str">
        <f>IF(OR(C233="",D233=""),"",IFERROR(IF(_xludf.XLOOKUP(C233,'Master Calendar'!$A$2:$A$6,'Master Calendar'!$C$2:$C$6)=D233,"YES","NO"),"NO"))</f>
        <v/>
      </c>
    </row>
    <row r="234" spans="12:14" x14ac:dyDescent="0.25">
      <c r="L234" t="str">
        <f t="shared" si="3"/>
        <v/>
      </c>
      <c r="N234" t="str">
        <f>IF(OR(C234="",D234=""),"",IFERROR(IF(_xludf.XLOOKUP(C234,'Master Calendar'!$A$2:$A$6,'Master Calendar'!$C$2:$C$6)=D234,"YES","NO"),"NO"))</f>
        <v/>
      </c>
    </row>
    <row r="235" spans="12:14" x14ac:dyDescent="0.25">
      <c r="L235" t="str">
        <f t="shared" si="3"/>
        <v/>
      </c>
      <c r="N235" t="str">
        <f>IF(OR(C235="",D235=""),"",IFERROR(IF(_xludf.XLOOKUP(C235,'Master Calendar'!$A$2:$A$6,'Master Calendar'!$C$2:$C$6)=D235,"YES","NO"),"NO"))</f>
        <v/>
      </c>
    </row>
    <row r="236" spans="12:14" x14ac:dyDescent="0.25">
      <c r="L236" t="str">
        <f t="shared" si="3"/>
        <v/>
      </c>
      <c r="N236" t="str">
        <f>IF(OR(C236="",D236=""),"",IFERROR(IF(_xludf.XLOOKUP(C236,'Master Calendar'!$A$2:$A$6,'Master Calendar'!$C$2:$C$6)=D236,"YES","NO"),"NO"))</f>
        <v/>
      </c>
    </row>
    <row r="237" spans="12:14" x14ac:dyDescent="0.25">
      <c r="L237" t="str">
        <f t="shared" si="3"/>
        <v/>
      </c>
      <c r="N237" t="str">
        <f>IF(OR(C237="",D237=""),"",IFERROR(IF(_xludf.XLOOKUP(C237,'Master Calendar'!$A$2:$A$6,'Master Calendar'!$C$2:$C$6)=D237,"YES","NO"),"NO"))</f>
        <v/>
      </c>
    </row>
    <row r="238" spans="12:14" x14ac:dyDescent="0.25">
      <c r="L238" t="str">
        <f t="shared" si="3"/>
        <v/>
      </c>
      <c r="N238" t="str">
        <f>IF(OR(C238="",D238=""),"",IFERROR(IF(_xludf.XLOOKUP(C238,'Master Calendar'!$A$2:$A$6,'Master Calendar'!$C$2:$C$6)=D238,"YES","NO"),"NO"))</f>
        <v/>
      </c>
    </row>
    <row r="239" spans="12:14" x14ac:dyDescent="0.25">
      <c r="L239" t="str">
        <f t="shared" si="3"/>
        <v/>
      </c>
      <c r="N239" t="str">
        <f>IF(OR(C239="",D239=""),"",IFERROR(IF(_xludf.XLOOKUP(C239,'Master Calendar'!$A$2:$A$6,'Master Calendar'!$C$2:$C$6)=D239,"YES","NO"),"NO"))</f>
        <v/>
      </c>
    </row>
    <row r="240" spans="12:14" x14ac:dyDescent="0.25">
      <c r="L240" t="str">
        <f t="shared" si="3"/>
        <v/>
      </c>
      <c r="N240" t="str">
        <f>IF(OR(C240="",D240=""),"",IFERROR(IF(_xludf.XLOOKUP(C240,'Master Calendar'!$A$2:$A$6,'Master Calendar'!$C$2:$C$6)=D240,"YES","NO"),"NO"))</f>
        <v/>
      </c>
    </row>
    <row r="241" spans="12:14" x14ac:dyDescent="0.25">
      <c r="L241" t="str">
        <f t="shared" si="3"/>
        <v/>
      </c>
      <c r="N241" t="str">
        <f>IF(OR(C241="",D241=""),"",IFERROR(IF(_xludf.XLOOKUP(C241,'Master Calendar'!$A$2:$A$6,'Master Calendar'!$C$2:$C$6)=D241,"YES","NO"),"NO"))</f>
        <v/>
      </c>
    </row>
    <row r="242" spans="12:14" x14ac:dyDescent="0.25">
      <c r="L242" t="str">
        <f t="shared" si="3"/>
        <v/>
      </c>
      <c r="N242" t="str">
        <f>IF(OR(C242="",D242=""),"",IFERROR(IF(_xludf.XLOOKUP(C242,'Master Calendar'!$A$2:$A$6,'Master Calendar'!$C$2:$C$6)=D242,"YES","NO"),"NO"))</f>
        <v/>
      </c>
    </row>
    <row r="243" spans="12:14" x14ac:dyDescent="0.25">
      <c r="L243" t="str">
        <f t="shared" si="3"/>
        <v/>
      </c>
      <c r="N243" t="str">
        <f>IF(OR(C243="",D243=""),"",IFERROR(IF(_xludf.XLOOKUP(C243,'Master Calendar'!$A$2:$A$6,'Master Calendar'!$C$2:$C$6)=D243,"YES","NO"),"NO"))</f>
        <v/>
      </c>
    </row>
    <row r="244" spans="12:14" x14ac:dyDescent="0.25">
      <c r="L244" t="str">
        <f t="shared" si="3"/>
        <v/>
      </c>
      <c r="N244" t="str">
        <f>IF(OR(C244="",D244=""),"",IFERROR(IF(_xludf.XLOOKUP(C244,'Master Calendar'!$A$2:$A$6,'Master Calendar'!$C$2:$C$6)=D244,"YES","NO"),"NO"))</f>
        <v/>
      </c>
    </row>
    <row r="245" spans="12:14" x14ac:dyDescent="0.25">
      <c r="L245" t="str">
        <f t="shared" si="3"/>
        <v/>
      </c>
      <c r="N245" t="str">
        <f>IF(OR(C245="",D245=""),"",IFERROR(IF(_xludf.XLOOKUP(C245,'Master Calendar'!$A$2:$A$6,'Master Calendar'!$C$2:$C$6)=D245,"YES","NO"),"NO"))</f>
        <v/>
      </c>
    </row>
    <row r="246" spans="12:14" x14ac:dyDescent="0.25">
      <c r="L246" t="str">
        <f t="shared" si="3"/>
        <v/>
      </c>
      <c r="N246" t="str">
        <f>IF(OR(C246="",D246=""),"",IFERROR(IF(_xludf.XLOOKUP(C246,'Master Calendar'!$A$2:$A$6,'Master Calendar'!$C$2:$C$6)=D246,"YES","NO"),"NO"))</f>
        <v/>
      </c>
    </row>
    <row r="247" spans="12:14" x14ac:dyDescent="0.25">
      <c r="L247" t="str">
        <f t="shared" si="3"/>
        <v/>
      </c>
      <c r="N247" t="str">
        <f>IF(OR(C247="",D247=""),"",IFERROR(IF(_xludf.XLOOKUP(C247,'Master Calendar'!$A$2:$A$6,'Master Calendar'!$C$2:$C$6)=D247,"YES","NO"),"NO"))</f>
        <v/>
      </c>
    </row>
    <row r="248" spans="12:14" x14ac:dyDescent="0.25">
      <c r="L248" t="str">
        <f t="shared" si="3"/>
        <v/>
      </c>
      <c r="N248" t="str">
        <f>IF(OR(C248="",D248=""),"",IFERROR(IF(_xludf.XLOOKUP(C248,'Master Calendar'!$A$2:$A$6,'Master Calendar'!$C$2:$C$6)=D248,"YES","NO"),"NO"))</f>
        <v/>
      </c>
    </row>
    <row r="249" spans="12:14" x14ac:dyDescent="0.25">
      <c r="L249" t="str">
        <f t="shared" si="3"/>
        <v/>
      </c>
      <c r="N249" t="str">
        <f>IF(OR(C249="",D249=""),"",IFERROR(IF(_xludf.XLOOKUP(C249,'Master Calendar'!$A$2:$A$6,'Master Calendar'!$C$2:$C$6)=D249,"YES","NO"),"NO"))</f>
        <v/>
      </c>
    </row>
    <row r="250" spans="12:14" x14ac:dyDescent="0.25">
      <c r="L250" t="str">
        <f t="shared" si="3"/>
        <v/>
      </c>
      <c r="N250" t="str">
        <f>IF(OR(C250="",D250=""),"",IFERROR(IF(_xludf.XLOOKUP(C250,'Master Calendar'!$A$2:$A$6,'Master Calendar'!$C$2:$C$6)=D250,"YES","NO"),"NO"))</f>
        <v/>
      </c>
    </row>
    <row r="251" spans="12:14" x14ac:dyDescent="0.25">
      <c r="L251" t="str">
        <f t="shared" si="3"/>
        <v/>
      </c>
      <c r="N251" t="str">
        <f>IF(OR(C251="",D251=""),"",IFERROR(IF(_xludf.XLOOKUP(C251,'Master Calendar'!$A$2:$A$6,'Master Calendar'!$C$2:$C$6)=D251,"YES","NO"),"NO"))</f>
        <v/>
      </c>
    </row>
    <row r="252" spans="12:14" x14ac:dyDescent="0.25">
      <c r="L252" t="str">
        <f t="shared" si="3"/>
        <v/>
      </c>
      <c r="N252" t="str">
        <f>IF(OR(C252="",D252=""),"",IFERROR(IF(_xludf.XLOOKUP(C252,'Master Calendar'!$A$2:$A$6,'Master Calendar'!$C$2:$C$6)=D252,"YES","NO"),"NO"))</f>
        <v/>
      </c>
    </row>
    <row r="253" spans="12:14" x14ac:dyDescent="0.25">
      <c r="L253" t="str">
        <f t="shared" si="3"/>
        <v/>
      </c>
      <c r="N253" t="str">
        <f>IF(OR(C253="",D253=""),"",IFERROR(IF(_xludf.XLOOKUP(C253,'Master Calendar'!$A$2:$A$6,'Master Calendar'!$C$2:$C$6)=D253,"YES","NO"),"NO"))</f>
        <v/>
      </c>
    </row>
    <row r="254" spans="12:14" x14ac:dyDescent="0.25">
      <c r="L254" t="str">
        <f t="shared" si="3"/>
        <v/>
      </c>
      <c r="N254" t="str">
        <f>IF(OR(C254="",D254=""),"",IFERROR(IF(_xludf.XLOOKUP(C254,'Master Calendar'!$A$2:$A$6,'Master Calendar'!$C$2:$C$6)=D254,"YES","NO"),"NO"))</f>
        <v/>
      </c>
    </row>
    <row r="255" spans="12:14" x14ac:dyDescent="0.25">
      <c r="L255" t="str">
        <f t="shared" si="3"/>
        <v/>
      </c>
      <c r="N255" t="str">
        <f>IF(OR(C255="",D255=""),"",IFERROR(IF(_xludf.XLOOKUP(C255,'Master Calendar'!$A$2:$A$6,'Master Calendar'!$C$2:$C$6)=D255,"YES","NO"),"NO"))</f>
        <v/>
      </c>
    </row>
    <row r="256" spans="12:14" x14ac:dyDescent="0.25">
      <c r="L256" t="str">
        <f t="shared" si="3"/>
        <v/>
      </c>
      <c r="N256" t="str">
        <f>IF(OR(C256="",D256=""),"",IFERROR(IF(_xludf.XLOOKUP(C256,'Master Calendar'!$A$2:$A$6,'Master Calendar'!$C$2:$C$6)=D256,"YES","NO"),"NO"))</f>
        <v/>
      </c>
    </row>
    <row r="257" spans="12:14" x14ac:dyDescent="0.25">
      <c r="L257" t="str">
        <f t="shared" si="3"/>
        <v/>
      </c>
      <c r="N257" t="str">
        <f>IF(OR(C257="",D257=""),"",IFERROR(IF(_xludf.XLOOKUP(C257,'Master Calendar'!$A$2:$A$6,'Master Calendar'!$C$2:$C$6)=D257,"YES","NO"),"NO"))</f>
        <v/>
      </c>
    </row>
    <row r="258" spans="12:14" x14ac:dyDescent="0.25">
      <c r="L258" t="str">
        <f t="shared" ref="L258:L321" si="4">IF(OR(J258="",K258=""),"",K258*J258/100)</f>
        <v/>
      </c>
      <c r="N258" t="str">
        <f>IF(OR(C258="",D258=""),"",IFERROR(IF(_xludf.XLOOKUP(C258,'Master Calendar'!$A$2:$A$6,'Master Calendar'!$C$2:$C$6)=D258,"YES","NO"),"NO"))</f>
        <v/>
      </c>
    </row>
    <row r="259" spans="12:14" x14ac:dyDescent="0.25">
      <c r="L259" t="str">
        <f t="shared" si="4"/>
        <v/>
      </c>
      <c r="N259" t="str">
        <f>IF(OR(C259="",D259=""),"",IFERROR(IF(_xludf.XLOOKUP(C259,'Master Calendar'!$A$2:$A$6,'Master Calendar'!$C$2:$C$6)=D259,"YES","NO"),"NO"))</f>
        <v/>
      </c>
    </row>
    <row r="260" spans="12:14" x14ac:dyDescent="0.25">
      <c r="L260" t="str">
        <f t="shared" si="4"/>
        <v/>
      </c>
      <c r="N260" t="str">
        <f>IF(OR(C260="",D260=""),"",IFERROR(IF(_xludf.XLOOKUP(C260,'Master Calendar'!$A$2:$A$6,'Master Calendar'!$C$2:$C$6)=D260,"YES","NO"),"NO"))</f>
        <v/>
      </c>
    </row>
    <row r="261" spans="12:14" x14ac:dyDescent="0.25">
      <c r="L261" t="str">
        <f t="shared" si="4"/>
        <v/>
      </c>
      <c r="N261" t="str">
        <f>IF(OR(C261="",D261=""),"",IFERROR(IF(_xludf.XLOOKUP(C261,'Master Calendar'!$A$2:$A$6,'Master Calendar'!$C$2:$C$6)=D261,"YES","NO"),"NO"))</f>
        <v/>
      </c>
    </row>
    <row r="262" spans="12:14" x14ac:dyDescent="0.25">
      <c r="L262" t="str">
        <f t="shared" si="4"/>
        <v/>
      </c>
      <c r="N262" t="str">
        <f>IF(OR(C262="",D262=""),"",IFERROR(IF(_xludf.XLOOKUP(C262,'Master Calendar'!$A$2:$A$6,'Master Calendar'!$C$2:$C$6)=D262,"YES","NO"),"NO"))</f>
        <v/>
      </c>
    </row>
    <row r="263" spans="12:14" x14ac:dyDescent="0.25">
      <c r="L263" t="str">
        <f t="shared" si="4"/>
        <v/>
      </c>
      <c r="N263" t="str">
        <f>IF(OR(C263="",D263=""),"",IFERROR(IF(_xludf.XLOOKUP(C263,'Master Calendar'!$A$2:$A$6,'Master Calendar'!$C$2:$C$6)=D263,"YES","NO"),"NO"))</f>
        <v/>
      </c>
    </row>
    <row r="264" spans="12:14" x14ac:dyDescent="0.25">
      <c r="L264" t="str">
        <f t="shared" si="4"/>
        <v/>
      </c>
      <c r="N264" t="str">
        <f>IF(OR(C264="",D264=""),"",IFERROR(IF(_xludf.XLOOKUP(C264,'Master Calendar'!$A$2:$A$6,'Master Calendar'!$C$2:$C$6)=D264,"YES","NO"),"NO"))</f>
        <v/>
      </c>
    </row>
    <row r="265" spans="12:14" x14ac:dyDescent="0.25">
      <c r="L265" t="str">
        <f t="shared" si="4"/>
        <v/>
      </c>
      <c r="N265" t="str">
        <f>IF(OR(C265="",D265=""),"",IFERROR(IF(_xludf.XLOOKUP(C265,'Master Calendar'!$A$2:$A$6,'Master Calendar'!$C$2:$C$6)=D265,"YES","NO"),"NO"))</f>
        <v/>
      </c>
    </row>
    <row r="266" spans="12:14" x14ac:dyDescent="0.25">
      <c r="L266" t="str">
        <f t="shared" si="4"/>
        <v/>
      </c>
      <c r="N266" t="str">
        <f>IF(OR(C266="",D266=""),"",IFERROR(IF(_xludf.XLOOKUP(C266,'Master Calendar'!$A$2:$A$6,'Master Calendar'!$C$2:$C$6)=D266,"YES","NO"),"NO"))</f>
        <v/>
      </c>
    </row>
    <row r="267" spans="12:14" x14ac:dyDescent="0.25">
      <c r="L267" t="str">
        <f t="shared" si="4"/>
        <v/>
      </c>
      <c r="N267" t="str">
        <f>IF(OR(C267="",D267=""),"",IFERROR(IF(_xludf.XLOOKUP(C267,'Master Calendar'!$A$2:$A$6,'Master Calendar'!$C$2:$C$6)=D267,"YES","NO"),"NO"))</f>
        <v/>
      </c>
    </row>
    <row r="268" spans="12:14" x14ac:dyDescent="0.25">
      <c r="L268" t="str">
        <f t="shared" si="4"/>
        <v/>
      </c>
      <c r="N268" t="str">
        <f>IF(OR(C268="",D268=""),"",IFERROR(IF(_xludf.XLOOKUP(C268,'Master Calendar'!$A$2:$A$6,'Master Calendar'!$C$2:$C$6)=D268,"YES","NO"),"NO"))</f>
        <v/>
      </c>
    </row>
    <row r="269" spans="12:14" x14ac:dyDescent="0.25">
      <c r="L269" t="str">
        <f t="shared" si="4"/>
        <v/>
      </c>
      <c r="N269" t="str">
        <f>IF(OR(C269="",D269=""),"",IFERROR(IF(_xludf.XLOOKUP(C269,'Master Calendar'!$A$2:$A$6,'Master Calendar'!$C$2:$C$6)=D269,"YES","NO"),"NO"))</f>
        <v/>
      </c>
    </row>
    <row r="270" spans="12:14" x14ac:dyDescent="0.25">
      <c r="L270" t="str">
        <f t="shared" si="4"/>
        <v/>
      </c>
      <c r="N270" t="str">
        <f>IF(OR(C270="",D270=""),"",IFERROR(IF(_xludf.XLOOKUP(C270,'Master Calendar'!$A$2:$A$6,'Master Calendar'!$C$2:$C$6)=D270,"YES","NO"),"NO"))</f>
        <v/>
      </c>
    </row>
    <row r="271" spans="12:14" x14ac:dyDescent="0.25">
      <c r="L271" t="str">
        <f t="shared" si="4"/>
        <v/>
      </c>
      <c r="N271" t="str">
        <f>IF(OR(C271="",D271=""),"",IFERROR(IF(_xludf.XLOOKUP(C271,'Master Calendar'!$A$2:$A$6,'Master Calendar'!$C$2:$C$6)=D271,"YES","NO"),"NO"))</f>
        <v/>
      </c>
    </row>
    <row r="272" spans="12:14" x14ac:dyDescent="0.25">
      <c r="L272" t="str">
        <f t="shared" si="4"/>
        <v/>
      </c>
      <c r="N272" t="str">
        <f>IF(OR(C272="",D272=""),"",IFERROR(IF(_xludf.XLOOKUP(C272,'Master Calendar'!$A$2:$A$6,'Master Calendar'!$C$2:$C$6)=D272,"YES","NO"),"NO"))</f>
        <v/>
      </c>
    </row>
    <row r="273" spans="12:14" x14ac:dyDescent="0.25">
      <c r="L273" t="str">
        <f t="shared" si="4"/>
        <v/>
      </c>
      <c r="N273" t="str">
        <f>IF(OR(C273="",D273=""),"",IFERROR(IF(_xludf.XLOOKUP(C273,'Master Calendar'!$A$2:$A$6,'Master Calendar'!$C$2:$C$6)=D273,"YES","NO"),"NO"))</f>
        <v/>
      </c>
    </row>
    <row r="274" spans="12:14" x14ac:dyDescent="0.25">
      <c r="L274" t="str">
        <f t="shared" si="4"/>
        <v/>
      </c>
      <c r="N274" t="str">
        <f>IF(OR(C274="",D274=""),"",IFERROR(IF(_xludf.XLOOKUP(C274,'Master Calendar'!$A$2:$A$6,'Master Calendar'!$C$2:$C$6)=D274,"YES","NO"),"NO"))</f>
        <v/>
      </c>
    </row>
    <row r="275" spans="12:14" x14ac:dyDescent="0.25">
      <c r="L275" t="str">
        <f t="shared" si="4"/>
        <v/>
      </c>
      <c r="N275" t="str">
        <f>IF(OR(C275="",D275=""),"",IFERROR(IF(_xludf.XLOOKUP(C275,'Master Calendar'!$A$2:$A$6,'Master Calendar'!$C$2:$C$6)=D275,"YES","NO"),"NO"))</f>
        <v/>
      </c>
    </row>
    <row r="276" spans="12:14" x14ac:dyDescent="0.25">
      <c r="L276" t="str">
        <f t="shared" si="4"/>
        <v/>
      </c>
      <c r="N276" t="str">
        <f>IF(OR(C276="",D276=""),"",IFERROR(IF(_xludf.XLOOKUP(C276,'Master Calendar'!$A$2:$A$6,'Master Calendar'!$C$2:$C$6)=D276,"YES","NO"),"NO"))</f>
        <v/>
      </c>
    </row>
    <row r="277" spans="12:14" x14ac:dyDescent="0.25">
      <c r="L277" t="str">
        <f t="shared" si="4"/>
        <v/>
      </c>
      <c r="N277" t="str">
        <f>IF(OR(C277="",D277=""),"",IFERROR(IF(_xludf.XLOOKUP(C277,'Master Calendar'!$A$2:$A$6,'Master Calendar'!$C$2:$C$6)=D277,"YES","NO"),"NO"))</f>
        <v/>
      </c>
    </row>
    <row r="278" spans="12:14" x14ac:dyDescent="0.25">
      <c r="L278" t="str">
        <f t="shared" si="4"/>
        <v/>
      </c>
      <c r="N278" t="str">
        <f>IF(OR(C278="",D278=""),"",IFERROR(IF(_xludf.XLOOKUP(C278,'Master Calendar'!$A$2:$A$6,'Master Calendar'!$C$2:$C$6)=D278,"YES","NO"),"NO"))</f>
        <v/>
      </c>
    </row>
    <row r="279" spans="12:14" x14ac:dyDescent="0.25">
      <c r="L279" t="str">
        <f t="shared" si="4"/>
        <v/>
      </c>
      <c r="N279" t="str">
        <f>IF(OR(C279="",D279=""),"",IFERROR(IF(_xludf.XLOOKUP(C279,'Master Calendar'!$A$2:$A$6,'Master Calendar'!$C$2:$C$6)=D279,"YES","NO"),"NO"))</f>
        <v/>
      </c>
    </row>
    <row r="280" spans="12:14" x14ac:dyDescent="0.25">
      <c r="L280" t="str">
        <f t="shared" si="4"/>
        <v/>
      </c>
      <c r="N280" t="str">
        <f>IF(OR(C280="",D280=""),"",IFERROR(IF(_xludf.XLOOKUP(C280,'Master Calendar'!$A$2:$A$6,'Master Calendar'!$C$2:$C$6)=D280,"YES","NO"),"NO"))</f>
        <v/>
      </c>
    </row>
    <row r="281" spans="12:14" x14ac:dyDescent="0.25">
      <c r="L281" t="str">
        <f t="shared" si="4"/>
        <v/>
      </c>
      <c r="N281" t="str">
        <f>IF(OR(C281="",D281=""),"",IFERROR(IF(_xludf.XLOOKUP(C281,'Master Calendar'!$A$2:$A$6,'Master Calendar'!$C$2:$C$6)=D281,"YES","NO"),"NO"))</f>
        <v/>
      </c>
    </row>
    <row r="282" spans="12:14" x14ac:dyDescent="0.25">
      <c r="L282" t="str">
        <f t="shared" si="4"/>
        <v/>
      </c>
      <c r="N282" t="str">
        <f>IF(OR(C282="",D282=""),"",IFERROR(IF(_xludf.XLOOKUP(C282,'Master Calendar'!$A$2:$A$6,'Master Calendar'!$C$2:$C$6)=D282,"YES","NO"),"NO"))</f>
        <v/>
      </c>
    </row>
    <row r="283" spans="12:14" x14ac:dyDescent="0.25">
      <c r="L283" t="str">
        <f t="shared" si="4"/>
        <v/>
      </c>
      <c r="N283" t="str">
        <f>IF(OR(C283="",D283=""),"",IFERROR(IF(_xludf.XLOOKUP(C283,'Master Calendar'!$A$2:$A$6,'Master Calendar'!$C$2:$C$6)=D283,"YES","NO"),"NO"))</f>
        <v/>
      </c>
    </row>
    <row r="284" spans="12:14" x14ac:dyDescent="0.25">
      <c r="L284" t="str">
        <f t="shared" si="4"/>
        <v/>
      </c>
      <c r="N284" t="str">
        <f>IF(OR(C284="",D284=""),"",IFERROR(IF(_xludf.XLOOKUP(C284,'Master Calendar'!$A$2:$A$6,'Master Calendar'!$C$2:$C$6)=D284,"YES","NO"),"NO"))</f>
        <v/>
      </c>
    </row>
    <row r="285" spans="12:14" x14ac:dyDescent="0.25">
      <c r="L285" t="str">
        <f t="shared" si="4"/>
        <v/>
      </c>
      <c r="N285" t="str">
        <f>IF(OR(C285="",D285=""),"",IFERROR(IF(_xludf.XLOOKUP(C285,'Master Calendar'!$A$2:$A$6,'Master Calendar'!$C$2:$C$6)=D285,"YES","NO"),"NO"))</f>
        <v/>
      </c>
    </row>
    <row r="286" spans="12:14" x14ac:dyDescent="0.25">
      <c r="L286" t="str">
        <f t="shared" si="4"/>
        <v/>
      </c>
      <c r="N286" t="str">
        <f>IF(OR(C286="",D286=""),"",IFERROR(IF(_xludf.XLOOKUP(C286,'Master Calendar'!$A$2:$A$6,'Master Calendar'!$C$2:$C$6)=D286,"YES","NO"),"NO"))</f>
        <v/>
      </c>
    </row>
    <row r="287" spans="12:14" x14ac:dyDescent="0.25">
      <c r="L287" t="str">
        <f t="shared" si="4"/>
        <v/>
      </c>
      <c r="N287" t="str">
        <f>IF(OR(C287="",D287=""),"",IFERROR(IF(_xludf.XLOOKUP(C287,'Master Calendar'!$A$2:$A$6,'Master Calendar'!$C$2:$C$6)=D287,"YES","NO"),"NO"))</f>
        <v/>
      </c>
    </row>
    <row r="288" spans="12:14" x14ac:dyDescent="0.25">
      <c r="L288" t="str">
        <f t="shared" si="4"/>
        <v/>
      </c>
      <c r="N288" t="str">
        <f>IF(OR(C288="",D288=""),"",IFERROR(IF(_xludf.XLOOKUP(C288,'Master Calendar'!$A$2:$A$6,'Master Calendar'!$C$2:$C$6)=D288,"YES","NO"),"NO"))</f>
        <v/>
      </c>
    </row>
    <row r="289" spans="12:14" x14ac:dyDescent="0.25">
      <c r="L289" t="str">
        <f t="shared" si="4"/>
        <v/>
      </c>
      <c r="N289" t="str">
        <f>IF(OR(C289="",D289=""),"",IFERROR(IF(_xludf.XLOOKUP(C289,'Master Calendar'!$A$2:$A$6,'Master Calendar'!$C$2:$C$6)=D289,"YES","NO"),"NO"))</f>
        <v/>
      </c>
    </row>
    <row r="290" spans="12:14" x14ac:dyDescent="0.25">
      <c r="L290" t="str">
        <f t="shared" si="4"/>
        <v/>
      </c>
      <c r="N290" t="str">
        <f>IF(OR(C290="",D290=""),"",IFERROR(IF(_xludf.XLOOKUP(C290,'Master Calendar'!$A$2:$A$6,'Master Calendar'!$C$2:$C$6)=D290,"YES","NO"),"NO"))</f>
        <v/>
      </c>
    </row>
    <row r="291" spans="12:14" x14ac:dyDescent="0.25">
      <c r="L291" t="str">
        <f t="shared" si="4"/>
        <v/>
      </c>
      <c r="N291" t="str">
        <f>IF(OR(C291="",D291=""),"",IFERROR(IF(_xludf.XLOOKUP(C291,'Master Calendar'!$A$2:$A$6,'Master Calendar'!$C$2:$C$6)=D291,"YES","NO"),"NO"))</f>
        <v/>
      </c>
    </row>
    <row r="292" spans="12:14" x14ac:dyDescent="0.25">
      <c r="L292" t="str">
        <f t="shared" si="4"/>
        <v/>
      </c>
      <c r="N292" t="str">
        <f>IF(OR(C292="",D292=""),"",IFERROR(IF(_xludf.XLOOKUP(C292,'Master Calendar'!$A$2:$A$6,'Master Calendar'!$C$2:$C$6)=D292,"YES","NO"),"NO"))</f>
        <v/>
      </c>
    </row>
    <row r="293" spans="12:14" x14ac:dyDescent="0.25">
      <c r="L293" t="str">
        <f t="shared" si="4"/>
        <v/>
      </c>
      <c r="N293" t="str">
        <f>IF(OR(C293="",D293=""),"",IFERROR(IF(_xludf.XLOOKUP(C293,'Master Calendar'!$A$2:$A$6,'Master Calendar'!$C$2:$C$6)=D293,"YES","NO"),"NO"))</f>
        <v/>
      </c>
    </row>
    <row r="294" spans="12:14" x14ac:dyDescent="0.25">
      <c r="L294" t="str">
        <f t="shared" si="4"/>
        <v/>
      </c>
      <c r="N294" t="str">
        <f>IF(OR(C294="",D294=""),"",IFERROR(IF(_xludf.XLOOKUP(C294,'Master Calendar'!$A$2:$A$6,'Master Calendar'!$C$2:$C$6)=D294,"YES","NO"),"NO"))</f>
        <v/>
      </c>
    </row>
    <row r="295" spans="12:14" x14ac:dyDescent="0.25">
      <c r="L295" t="str">
        <f t="shared" si="4"/>
        <v/>
      </c>
      <c r="N295" t="str">
        <f>IF(OR(C295="",D295=""),"",IFERROR(IF(_xludf.XLOOKUP(C295,'Master Calendar'!$A$2:$A$6,'Master Calendar'!$C$2:$C$6)=D295,"YES","NO"),"NO"))</f>
        <v/>
      </c>
    </row>
    <row r="296" spans="12:14" x14ac:dyDescent="0.25">
      <c r="L296" t="str">
        <f t="shared" si="4"/>
        <v/>
      </c>
      <c r="N296" t="str">
        <f>IF(OR(C296="",D296=""),"",IFERROR(IF(_xludf.XLOOKUP(C296,'Master Calendar'!$A$2:$A$6,'Master Calendar'!$C$2:$C$6)=D296,"YES","NO"),"NO"))</f>
        <v/>
      </c>
    </row>
    <row r="297" spans="12:14" x14ac:dyDescent="0.25">
      <c r="L297" t="str">
        <f t="shared" si="4"/>
        <v/>
      </c>
      <c r="N297" t="str">
        <f>IF(OR(C297="",D297=""),"",IFERROR(IF(_xludf.XLOOKUP(C297,'Master Calendar'!$A$2:$A$6,'Master Calendar'!$C$2:$C$6)=D297,"YES","NO"),"NO"))</f>
        <v/>
      </c>
    </row>
    <row r="298" spans="12:14" x14ac:dyDescent="0.25">
      <c r="L298" t="str">
        <f t="shared" si="4"/>
        <v/>
      </c>
      <c r="N298" t="str">
        <f>IF(OR(C298="",D298=""),"",IFERROR(IF(_xludf.XLOOKUP(C298,'Master Calendar'!$A$2:$A$6,'Master Calendar'!$C$2:$C$6)=D298,"YES","NO"),"NO"))</f>
        <v/>
      </c>
    </row>
    <row r="299" spans="12:14" x14ac:dyDescent="0.25">
      <c r="L299" t="str">
        <f t="shared" si="4"/>
        <v/>
      </c>
      <c r="N299" t="str">
        <f>IF(OR(C299="",D299=""),"",IFERROR(IF(_xludf.XLOOKUP(C299,'Master Calendar'!$A$2:$A$6,'Master Calendar'!$C$2:$C$6)=D299,"YES","NO"),"NO"))</f>
        <v/>
      </c>
    </row>
    <row r="300" spans="12:14" x14ac:dyDescent="0.25">
      <c r="L300" t="str">
        <f t="shared" si="4"/>
        <v/>
      </c>
      <c r="N300" t="str">
        <f>IF(OR(C300="",D300=""),"",IFERROR(IF(_xludf.XLOOKUP(C300,'Master Calendar'!$A$2:$A$6,'Master Calendar'!$C$2:$C$6)=D300,"YES","NO"),"NO"))</f>
        <v/>
      </c>
    </row>
    <row r="301" spans="12:14" x14ac:dyDescent="0.25">
      <c r="L301" t="str">
        <f t="shared" si="4"/>
        <v/>
      </c>
      <c r="N301" t="str">
        <f>IF(OR(C301="",D301=""),"",IFERROR(IF(_xludf.XLOOKUP(C301,'Master Calendar'!$A$2:$A$6,'Master Calendar'!$C$2:$C$6)=D301,"YES","NO"),"NO"))</f>
        <v/>
      </c>
    </row>
    <row r="302" spans="12:14" x14ac:dyDescent="0.25">
      <c r="L302" t="str">
        <f t="shared" si="4"/>
        <v/>
      </c>
      <c r="N302" t="str">
        <f>IF(OR(C302="",D302=""),"",IFERROR(IF(_xludf.XLOOKUP(C302,'Master Calendar'!$A$2:$A$6,'Master Calendar'!$C$2:$C$6)=D302,"YES","NO"),"NO"))</f>
        <v/>
      </c>
    </row>
    <row r="303" spans="12:14" x14ac:dyDescent="0.25">
      <c r="L303" t="str">
        <f t="shared" si="4"/>
        <v/>
      </c>
      <c r="N303" t="str">
        <f>IF(OR(C303="",D303=""),"",IFERROR(IF(_xludf.XLOOKUP(C303,'Master Calendar'!$A$2:$A$6,'Master Calendar'!$C$2:$C$6)=D303,"YES","NO"),"NO"))</f>
        <v/>
      </c>
    </row>
    <row r="304" spans="12:14" x14ac:dyDescent="0.25">
      <c r="L304" t="str">
        <f t="shared" si="4"/>
        <v/>
      </c>
      <c r="N304" t="str">
        <f>IF(OR(C304="",D304=""),"",IFERROR(IF(_xludf.XLOOKUP(C304,'Master Calendar'!$A$2:$A$6,'Master Calendar'!$C$2:$C$6)=D304,"YES","NO"),"NO"))</f>
        <v/>
      </c>
    </row>
    <row r="305" spans="12:14" x14ac:dyDescent="0.25">
      <c r="L305" t="str">
        <f t="shared" si="4"/>
        <v/>
      </c>
      <c r="N305" t="str">
        <f>IF(OR(C305="",D305=""),"",IFERROR(IF(_xludf.XLOOKUP(C305,'Master Calendar'!$A$2:$A$6,'Master Calendar'!$C$2:$C$6)=D305,"YES","NO"),"NO"))</f>
        <v/>
      </c>
    </row>
    <row r="306" spans="12:14" x14ac:dyDescent="0.25">
      <c r="L306" t="str">
        <f t="shared" si="4"/>
        <v/>
      </c>
      <c r="N306" t="str">
        <f>IF(OR(C306="",D306=""),"",IFERROR(IF(_xludf.XLOOKUP(C306,'Master Calendar'!$A$2:$A$6,'Master Calendar'!$C$2:$C$6)=D306,"YES","NO"),"NO"))</f>
        <v/>
      </c>
    </row>
    <row r="307" spans="12:14" x14ac:dyDescent="0.25">
      <c r="L307" t="str">
        <f t="shared" si="4"/>
        <v/>
      </c>
      <c r="N307" t="str">
        <f>IF(OR(C307="",D307=""),"",IFERROR(IF(_xludf.XLOOKUP(C307,'Master Calendar'!$A$2:$A$6,'Master Calendar'!$C$2:$C$6)=D307,"YES","NO"),"NO"))</f>
        <v/>
      </c>
    </row>
    <row r="308" spans="12:14" x14ac:dyDescent="0.25">
      <c r="L308" t="str">
        <f t="shared" si="4"/>
        <v/>
      </c>
      <c r="N308" t="str">
        <f>IF(OR(C308="",D308=""),"",IFERROR(IF(_xludf.XLOOKUP(C308,'Master Calendar'!$A$2:$A$6,'Master Calendar'!$C$2:$C$6)=D308,"YES","NO"),"NO"))</f>
        <v/>
      </c>
    </row>
    <row r="309" spans="12:14" x14ac:dyDescent="0.25">
      <c r="L309" t="str">
        <f t="shared" si="4"/>
        <v/>
      </c>
      <c r="N309" t="str">
        <f>IF(OR(C309="",D309=""),"",IFERROR(IF(_xludf.XLOOKUP(C309,'Master Calendar'!$A$2:$A$6,'Master Calendar'!$C$2:$C$6)=D309,"YES","NO"),"NO"))</f>
        <v/>
      </c>
    </row>
    <row r="310" spans="12:14" x14ac:dyDescent="0.25">
      <c r="L310" t="str">
        <f t="shared" si="4"/>
        <v/>
      </c>
      <c r="N310" t="str">
        <f>IF(OR(C310="",D310=""),"",IFERROR(IF(_xludf.XLOOKUP(C310,'Master Calendar'!$A$2:$A$6,'Master Calendar'!$C$2:$C$6)=D310,"YES","NO"),"NO"))</f>
        <v/>
      </c>
    </row>
    <row r="311" spans="12:14" x14ac:dyDescent="0.25">
      <c r="L311" t="str">
        <f t="shared" si="4"/>
        <v/>
      </c>
      <c r="N311" t="str">
        <f>IF(OR(C311="",D311=""),"",IFERROR(IF(_xludf.XLOOKUP(C311,'Master Calendar'!$A$2:$A$6,'Master Calendar'!$C$2:$C$6)=D311,"YES","NO"),"NO"))</f>
        <v/>
      </c>
    </row>
    <row r="312" spans="12:14" x14ac:dyDescent="0.25">
      <c r="L312" t="str">
        <f t="shared" si="4"/>
        <v/>
      </c>
      <c r="N312" t="str">
        <f>IF(OR(C312="",D312=""),"",IFERROR(IF(_xludf.XLOOKUP(C312,'Master Calendar'!$A$2:$A$6,'Master Calendar'!$C$2:$C$6)=D312,"YES","NO"),"NO"))</f>
        <v/>
      </c>
    </row>
    <row r="313" spans="12:14" x14ac:dyDescent="0.25">
      <c r="L313" t="str">
        <f t="shared" si="4"/>
        <v/>
      </c>
      <c r="N313" t="str">
        <f>IF(OR(C313="",D313=""),"",IFERROR(IF(_xludf.XLOOKUP(C313,'Master Calendar'!$A$2:$A$6,'Master Calendar'!$C$2:$C$6)=D313,"YES","NO"),"NO"))</f>
        <v/>
      </c>
    </row>
    <row r="314" spans="12:14" x14ac:dyDescent="0.25">
      <c r="L314" t="str">
        <f t="shared" si="4"/>
        <v/>
      </c>
      <c r="N314" t="str">
        <f>IF(OR(C314="",D314=""),"",IFERROR(IF(_xludf.XLOOKUP(C314,'Master Calendar'!$A$2:$A$6,'Master Calendar'!$C$2:$C$6)=D314,"YES","NO"),"NO"))</f>
        <v/>
      </c>
    </row>
    <row r="315" spans="12:14" x14ac:dyDescent="0.25">
      <c r="L315" t="str">
        <f t="shared" si="4"/>
        <v/>
      </c>
      <c r="N315" t="str">
        <f>IF(OR(C315="",D315=""),"",IFERROR(IF(_xludf.XLOOKUP(C315,'Master Calendar'!$A$2:$A$6,'Master Calendar'!$C$2:$C$6)=D315,"YES","NO"),"NO"))</f>
        <v/>
      </c>
    </row>
    <row r="316" spans="12:14" x14ac:dyDescent="0.25">
      <c r="L316" t="str">
        <f t="shared" si="4"/>
        <v/>
      </c>
      <c r="N316" t="str">
        <f>IF(OR(C316="",D316=""),"",IFERROR(IF(_xludf.XLOOKUP(C316,'Master Calendar'!$A$2:$A$6,'Master Calendar'!$C$2:$C$6)=D316,"YES","NO"),"NO"))</f>
        <v/>
      </c>
    </row>
    <row r="317" spans="12:14" x14ac:dyDescent="0.25">
      <c r="L317" t="str">
        <f t="shared" si="4"/>
        <v/>
      </c>
      <c r="N317" t="str">
        <f>IF(OR(C317="",D317=""),"",IFERROR(IF(_xludf.XLOOKUP(C317,'Master Calendar'!$A$2:$A$6,'Master Calendar'!$C$2:$C$6)=D317,"YES","NO"),"NO"))</f>
        <v/>
      </c>
    </row>
    <row r="318" spans="12:14" x14ac:dyDescent="0.25">
      <c r="L318" t="str">
        <f t="shared" si="4"/>
        <v/>
      </c>
      <c r="N318" t="str">
        <f>IF(OR(C318="",D318=""),"",IFERROR(IF(_xludf.XLOOKUP(C318,'Master Calendar'!$A$2:$A$6,'Master Calendar'!$C$2:$C$6)=D318,"YES","NO"),"NO"))</f>
        <v/>
      </c>
    </row>
    <row r="319" spans="12:14" x14ac:dyDescent="0.25">
      <c r="L319" t="str">
        <f t="shared" si="4"/>
        <v/>
      </c>
      <c r="N319" t="str">
        <f>IF(OR(C319="",D319=""),"",IFERROR(IF(_xludf.XLOOKUP(C319,'Master Calendar'!$A$2:$A$6,'Master Calendar'!$C$2:$C$6)=D319,"YES","NO"),"NO"))</f>
        <v/>
      </c>
    </row>
    <row r="320" spans="12:14" x14ac:dyDescent="0.25">
      <c r="L320" t="str">
        <f t="shared" si="4"/>
        <v/>
      </c>
      <c r="N320" t="str">
        <f>IF(OR(C320="",D320=""),"",IFERROR(IF(_xludf.XLOOKUP(C320,'Master Calendar'!$A$2:$A$6,'Master Calendar'!$C$2:$C$6)=D320,"YES","NO"),"NO"))</f>
        <v/>
      </c>
    </row>
    <row r="321" spans="12:14" x14ac:dyDescent="0.25">
      <c r="L321" t="str">
        <f t="shared" si="4"/>
        <v/>
      </c>
      <c r="N321" t="str">
        <f>IF(OR(C321="",D321=""),"",IFERROR(IF(_xludf.XLOOKUP(C321,'Master Calendar'!$A$2:$A$6,'Master Calendar'!$C$2:$C$6)=D321,"YES","NO"),"NO"))</f>
        <v/>
      </c>
    </row>
    <row r="322" spans="12:14" x14ac:dyDescent="0.25">
      <c r="L322" t="str">
        <f t="shared" ref="L322:L385" si="5">IF(OR(J322="",K322=""),"",K322*J322/100)</f>
        <v/>
      </c>
      <c r="N322" t="str">
        <f>IF(OR(C322="",D322=""),"",IFERROR(IF(_xludf.XLOOKUP(C322,'Master Calendar'!$A$2:$A$6,'Master Calendar'!$C$2:$C$6)=D322,"YES","NO"),"NO"))</f>
        <v/>
      </c>
    </row>
    <row r="323" spans="12:14" x14ac:dyDescent="0.25">
      <c r="L323" t="str">
        <f t="shared" si="5"/>
        <v/>
      </c>
      <c r="N323" t="str">
        <f>IF(OR(C323="",D323=""),"",IFERROR(IF(_xludf.XLOOKUP(C323,'Master Calendar'!$A$2:$A$6,'Master Calendar'!$C$2:$C$6)=D323,"YES","NO"),"NO"))</f>
        <v/>
      </c>
    </row>
    <row r="324" spans="12:14" x14ac:dyDescent="0.25">
      <c r="L324" t="str">
        <f t="shared" si="5"/>
        <v/>
      </c>
      <c r="N324" t="str">
        <f>IF(OR(C324="",D324=""),"",IFERROR(IF(_xludf.XLOOKUP(C324,'Master Calendar'!$A$2:$A$6,'Master Calendar'!$C$2:$C$6)=D324,"YES","NO"),"NO"))</f>
        <v/>
      </c>
    </row>
    <row r="325" spans="12:14" x14ac:dyDescent="0.25">
      <c r="L325" t="str">
        <f t="shared" si="5"/>
        <v/>
      </c>
      <c r="N325" t="str">
        <f>IF(OR(C325="",D325=""),"",IFERROR(IF(_xludf.XLOOKUP(C325,'Master Calendar'!$A$2:$A$6,'Master Calendar'!$C$2:$C$6)=D325,"YES","NO"),"NO"))</f>
        <v/>
      </c>
    </row>
    <row r="326" spans="12:14" x14ac:dyDescent="0.25">
      <c r="L326" t="str">
        <f t="shared" si="5"/>
        <v/>
      </c>
      <c r="N326" t="str">
        <f>IF(OR(C326="",D326=""),"",IFERROR(IF(_xludf.XLOOKUP(C326,'Master Calendar'!$A$2:$A$6,'Master Calendar'!$C$2:$C$6)=D326,"YES","NO"),"NO"))</f>
        <v/>
      </c>
    </row>
    <row r="327" spans="12:14" x14ac:dyDescent="0.25">
      <c r="L327" t="str">
        <f t="shared" si="5"/>
        <v/>
      </c>
      <c r="N327" t="str">
        <f>IF(OR(C327="",D327=""),"",IFERROR(IF(_xludf.XLOOKUP(C327,'Master Calendar'!$A$2:$A$6,'Master Calendar'!$C$2:$C$6)=D327,"YES","NO"),"NO"))</f>
        <v/>
      </c>
    </row>
    <row r="328" spans="12:14" x14ac:dyDescent="0.25">
      <c r="L328" t="str">
        <f t="shared" si="5"/>
        <v/>
      </c>
      <c r="N328" t="str">
        <f>IF(OR(C328="",D328=""),"",IFERROR(IF(_xludf.XLOOKUP(C328,'Master Calendar'!$A$2:$A$6,'Master Calendar'!$C$2:$C$6)=D328,"YES","NO"),"NO"))</f>
        <v/>
      </c>
    </row>
    <row r="329" spans="12:14" x14ac:dyDescent="0.25">
      <c r="L329" t="str">
        <f t="shared" si="5"/>
        <v/>
      </c>
      <c r="N329" t="str">
        <f>IF(OR(C329="",D329=""),"",IFERROR(IF(_xludf.XLOOKUP(C329,'Master Calendar'!$A$2:$A$6,'Master Calendar'!$C$2:$C$6)=D329,"YES","NO"),"NO"))</f>
        <v/>
      </c>
    </row>
    <row r="330" spans="12:14" x14ac:dyDescent="0.25">
      <c r="L330" t="str">
        <f t="shared" si="5"/>
        <v/>
      </c>
      <c r="N330" t="str">
        <f>IF(OR(C330="",D330=""),"",IFERROR(IF(_xludf.XLOOKUP(C330,'Master Calendar'!$A$2:$A$6,'Master Calendar'!$C$2:$C$6)=D330,"YES","NO"),"NO"))</f>
        <v/>
      </c>
    </row>
    <row r="331" spans="12:14" x14ac:dyDescent="0.25">
      <c r="L331" t="str">
        <f t="shared" si="5"/>
        <v/>
      </c>
      <c r="N331" t="str">
        <f>IF(OR(C331="",D331=""),"",IFERROR(IF(_xludf.XLOOKUP(C331,'Master Calendar'!$A$2:$A$6,'Master Calendar'!$C$2:$C$6)=D331,"YES","NO"),"NO"))</f>
        <v/>
      </c>
    </row>
    <row r="332" spans="12:14" x14ac:dyDescent="0.25">
      <c r="L332" t="str">
        <f t="shared" si="5"/>
        <v/>
      </c>
      <c r="N332" t="str">
        <f>IF(OR(C332="",D332=""),"",IFERROR(IF(_xludf.XLOOKUP(C332,'Master Calendar'!$A$2:$A$6,'Master Calendar'!$C$2:$C$6)=D332,"YES","NO"),"NO"))</f>
        <v/>
      </c>
    </row>
    <row r="333" spans="12:14" x14ac:dyDescent="0.25">
      <c r="L333" t="str">
        <f t="shared" si="5"/>
        <v/>
      </c>
      <c r="N333" t="str">
        <f>IF(OR(C333="",D333=""),"",IFERROR(IF(_xludf.XLOOKUP(C333,'Master Calendar'!$A$2:$A$6,'Master Calendar'!$C$2:$C$6)=D333,"YES","NO"),"NO"))</f>
        <v/>
      </c>
    </row>
    <row r="334" spans="12:14" x14ac:dyDescent="0.25">
      <c r="L334" t="str">
        <f t="shared" si="5"/>
        <v/>
      </c>
      <c r="N334" t="str">
        <f>IF(OR(C334="",D334=""),"",IFERROR(IF(_xludf.XLOOKUP(C334,'Master Calendar'!$A$2:$A$6,'Master Calendar'!$C$2:$C$6)=D334,"YES","NO"),"NO"))</f>
        <v/>
      </c>
    </row>
    <row r="335" spans="12:14" x14ac:dyDescent="0.25">
      <c r="L335" t="str">
        <f t="shared" si="5"/>
        <v/>
      </c>
      <c r="N335" t="str">
        <f>IF(OR(C335="",D335=""),"",IFERROR(IF(_xludf.XLOOKUP(C335,'Master Calendar'!$A$2:$A$6,'Master Calendar'!$C$2:$C$6)=D335,"YES","NO"),"NO"))</f>
        <v/>
      </c>
    </row>
    <row r="336" spans="12:14" x14ac:dyDescent="0.25">
      <c r="L336" t="str">
        <f t="shared" si="5"/>
        <v/>
      </c>
      <c r="N336" t="str">
        <f>IF(OR(C336="",D336=""),"",IFERROR(IF(_xludf.XLOOKUP(C336,'Master Calendar'!$A$2:$A$6,'Master Calendar'!$C$2:$C$6)=D336,"YES","NO"),"NO"))</f>
        <v/>
      </c>
    </row>
    <row r="337" spans="12:14" x14ac:dyDescent="0.25">
      <c r="L337" t="str">
        <f t="shared" si="5"/>
        <v/>
      </c>
      <c r="N337" t="str">
        <f>IF(OR(C337="",D337=""),"",IFERROR(IF(_xludf.XLOOKUP(C337,'Master Calendar'!$A$2:$A$6,'Master Calendar'!$C$2:$C$6)=D337,"YES","NO"),"NO"))</f>
        <v/>
      </c>
    </row>
    <row r="338" spans="12:14" x14ac:dyDescent="0.25">
      <c r="L338" t="str">
        <f t="shared" si="5"/>
        <v/>
      </c>
      <c r="N338" t="str">
        <f>IF(OR(C338="",D338=""),"",IFERROR(IF(_xludf.XLOOKUP(C338,'Master Calendar'!$A$2:$A$6,'Master Calendar'!$C$2:$C$6)=D338,"YES","NO"),"NO"))</f>
        <v/>
      </c>
    </row>
    <row r="339" spans="12:14" x14ac:dyDescent="0.25">
      <c r="L339" t="str">
        <f t="shared" si="5"/>
        <v/>
      </c>
      <c r="N339" t="str">
        <f>IF(OR(C339="",D339=""),"",IFERROR(IF(_xludf.XLOOKUP(C339,'Master Calendar'!$A$2:$A$6,'Master Calendar'!$C$2:$C$6)=D339,"YES","NO"),"NO"))</f>
        <v/>
      </c>
    </row>
    <row r="340" spans="12:14" x14ac:dyDescent="0.25">
      <c r="L340" t="str">
        <f t="shared" si="5"/>
        <v/>
      </c>
      <c r="N340" t="str">
        <f>IF(OR(C340="",D340=""),"",IFERROR(IF(_xludf.XLOOKUP(C340,'Master Calendar'!$A$2:$A$6,'Master Calendar'!$C$2:$C$6)=D340,"YES","NO"),"NO"))</f>
        <v/>
      </c>
    </row>
    <row r="341" spans="12:14" x14ac:dyDescent="0.25">
      <c r="L341" t="str">
        <f t="shared" si="5"/>
        <v/>
      </c>
      <c r="N341" t="str">
        <f>IF(OR(C341="",D341=""),"",IFERROR(IF(_xludf.XLOOKUP(C341,'Master Calendar'!$A$2:$A$6,'Master Calendar'!$C$2:$C$6)=D341,"YES","NO"),"NO"))</f>
        <v/>
      </c>
    </row>
    <row r="342" spans="12:14" x14ac:dyDescent="0.25">
      <c r="L342" t="str">
        <f t="shared" si="5"/>
        <v/>
      </c>
      <c r="N342" t="str">
        <f>IF(OR(C342="",D342=""),"",IFERROR(IF(_xludf.XLOOKUP(C342,'Master Calendar'!$A$2:$A$6,'Master Calendar'!$C$2:$C$6)=D342,"YES","NO"),"NO"))</f>
        <v/>
      </c>
    </row>
    <row r="343" spans="12:14" x14ac:dyDescent="0.25">
      <c r="L343" t="str">
        <f t="shared" si="5"/>
        <v/>
      </c>
      <c r="N343" t="str">
        <f>IF(OR(C343="",D343=""),"",IFERROR(IF(_xludf.XLOOKUP(C343,'Master Calendar'!$A$2:$A$6,'Master Calendar'!$C$2:$C$6)=D343,"YES","NO"),"NO"))</f>
        <v/>
      </c>
    </row>
    <row r="344" spans="12:14" x14ac:dyDescent="0.25">
      <c r="L344" t="str">
        <f t="shared" si="5"/>
        <v/>
      </c>
      <c r="N344" t="str">
        <f>IF(OR(C344="",D344=""),"",IFERROR(IF(_xludf.XLOOKUP(C344,'Master Calendar'!$A$2:$A$6,'Master Calendar'!$C$2:$C$6)=D344,"YES","NO"),"NO"))</f>
        <v/>
      </c>
    </row>
    <row r="345" spans="12:14" x14ac:dyDescent="0.25">
      <c r="L345" t="str">
        <f t="shared" si="5"/>
        <v/>
      </c>
      <c r="N345" t="str">
        <f>IF(OR(C345="",D345=""),"",IFERROR(IF(_xludf.XLOOKUP(C345,'Master Calendar'!$A$2:$A$6,'Master Calendar'!$C$2:$C$6)=D345,"YES","NO"),"NO"))</f>
        <v/>
      </c>
    </row>
    <row r="346" spans="12:14" x14ac:dyDescent="0.25">
      <c r="L346" t="str">
        <f t="shared" si="5"/>
        <v/>
      </c>
      <c r="N346" t="str">
        <f>IF(OR(C346="",D346=""),"",IFERROR(IF(_xludf.XLOOKUP(C346,'Master Calendar'!$A$2:$A$6,'Master Calendar'!$C$2:$C$6)=D346,"YES","NO"),"NO"))</f>
        <v/>
      </c>
    </row>
    <row r="347" spans="12:14" x14ac:dyDescent="0.25">
      <c r="L347" t="str">
        <f t="shared" si="5"/>
        <v/>
      </c>
      <c r="N347" t="str">
        <f>IF(OR(C347="",D347=""),"",IFERROR(IF(_xludf.XLOOKUP(C347,'Master Calendar'!$A$2:$A$6,'Master Calendar'!$C$2:$C$6)=D347,"YES","NO"),"NO"))</f>
        <v/>
      </c>
    </row>
    <row r="348" spans="12:14" x14ac:dyDescent="0.25">
      <c r="L348" t="str">
        <f t="shared" si="5"/>
        <v/>
      </c>
      <c r="N348" t="str">
        <f>IF(OR(C348="",D348=""),"",IFERROR(IF(_xludf.XLOOKUP(C348,'Master Calendar'!$A$2:$A$6,'Master Calendar'!$C$2:$C$6)=D348,"YES","NO"),"NO"))</f>
        <v/>
      </c>
    </row>
    <row r="349" spans="12:14" x14ac:dyDescent="0.25">
      <c r="L349" t="str">
        <f t="shared" si="5"/>
        <v/>
      </c>
      <c r="N349" t="str">
        <f>IF(OR(C349="",D349=""),"",IFERROR(IF(_xludf.XLOOKUP(C349,'Master Calendar'!$A$2:$A$6,'Master Calendar'!$C$2:$C$6)=D349,"YES","NO"),"NO"))</f>
        <v/>
      </c>
    </row>
    <row r="350" spans="12:14" x14ac:dyDescent="0.25">
      <c r="L350" t="str">
        <f t="shared" si="5"/>
        <v/>
      </c>
      <c r="N350" t="str">
        <f>IF(OR(C350="",D350=""),"",IFERROR(IF(_xludf.XLOOKUP(C350,'Master Calendar'!$A$2:$A$6,'Master Calendar'!$C$2:$C$6)=D350,"YES","NO"),"NO"))</f>
        <v/>
      </c>
    </row>
    <row r="351" spans="12:14" x14ac:dyDescent="0.25">
      <c r="L351" t="str">
        <f t="shared" si="5"/>
        <v/>
      </c>
      <c r="N351" t="str">
        <f>IF(OR(C351="",D351=""),"",IFERROR(IF(_xludf.XLOOKUP(C351,'Master Calendar'!$A$2:$A$6,'Master Calendar'!$C$2:$C$6)=D351,"YES","NO"),"NO"))</f>
        <v/>
      </c>
    </row>
    <row r="352" spans="12:14" x14ac:dyDescent="0.25">
      <c r="L352" t="str">
        <f t="shared" si="5"/>
        <v/>
      </c>
      <c r="N352" t="str">
        <f>IF(OR(C352="",D352=""),"",IFERROR(IF(_xludf.XLOOKUP(C352,'Master Calendar'!$A$2:$A$6,'Master Calendar'!$C$2:$C$6)=D352,"YES","NO"),"NO"))</f>
        <v/>
      </c>
    </row>
    <row r="353" spans="12:14" x14ac:dyDescent="0.25">
      <c r="L353" t="str">
        <f t="shared" si="5"/>
        <v/>
      </c>
      <c r="N353" t="str">
        <f>IF(OR(C353="",D353=""),"",IFERROR(IF(_xludf.XLOOKUP(C353,'Master Calendar'!$A$2:$A$6,'Master Calendar'!$C$2:$C$6)=D353,"YES","NO"),"NO"))</f>
        <v/>
      </c>
    </row>
    <row r="354" spans="12:14" x14ac:dyDescent="0.25">
      <c r="L354" t="str">
        <f t="shared" si="5"/>
        <v/>
      </c>
      <c r="N354" t="str">
        <f>IF(OR(C354="",D354=""),"",IFERROR(IF(_xludf.XLOOKUP(C354,'Master Calendar'!$A$2:$A$6,'Master Calendar'!$C$2:$C$6)=D354,"YES","NO"),"NO"))</f>
        <v/>
      </c>
    </row>
    <row r="355" spans="12:14" x14ac:dyDescent="0.25">
      <c r="L355" t="str">
        <f t="shared" si="5"/>
        <v/>
      </c>
      <c r="N355" t="str">
        <f>IF(OR(C355="",D355=""),"",IFERROR(IF(_xludf.XLOOKUP(C355,'Master Calendar'!$A$2:$A$6,'Master Calendar'!$C$2:$C$6)=D355,"YES","NO"),"NO"))</f>
        <v/>
      </c>
    </row>
    <row r="356" spans="12:14" x14ac:dyDescent="0.25">
      <c r="L356" t="str">
        <f t="shared" si="5"/>
        <v/>
      </c>
      <c r="N356" t="str">
        <f>IF(OR(C356="",D356=""),"",IFERROR(IF(_xludf.XLOOKUP(C356,'Master Calendar'!$A$2:$A$6,'Master Calendar'!$C$2:$C$6)=D356,"YES","NO"),"NO"))</f>
        <v/>
      </c>
    </row>
    <row r="357" spans="12:14" x14ac:dyDescent="0.25">
      <c r="L357" t="str">
        <f t="shared" si="5"/>
        <v/>
      </c>
      <c r="N357" t="str">
        <f>IF(OR(C357="",D357=""),"",IFERROR(IF(_xludf.XLOOKUP(C357,'Master Calendar'!$A$2:$A$6,'Master Calendar'!$C$2:$C$6)=D357,"YES","NO"),"NO"))</f>
        <v/>
      </c>
    </row>
    <row r="358" spans="12:14" x14ac:dyDescent="0.25">
      <c r="L358" t="str">
        <f t="shared" si="5"/>
        <v/>
      </c>
      <c r="N358" t="str">
        <f>IF(OR(C358="",D358=""),"",IFERROR(IF(_xludf.XLOOKUP(C358,'Master Calendar'!$A$2:$A$6,'Master Calendar'!$C$2:$C$6)=D358,"YES","NO"),"NO"))</f>
        <v/>
      </c>
    </row>
    <row r="359" spans="12:14" x14ac:dyDescent="0.25">
      <c r="L359" t="str">
        <f t="shared" si="5"/>
        <v/>
      </c>
      <c r="N359" t="str">
        <f>IF(OR(C359="",D359=""),"",IFERROR(IF(_xludf.XLOOKUP(C359,'Master Calendar'!$A$2:$A$6,'Master Calendar'!$C$2:$C$6)=D359,"YES","NO"),"NO"))</f>
        <v/>
      </c>
    </row>
    <row r="360" spans="12:14" x14ac:dyDescent="0.25">
      <c r="L360" t="str">
        <f t="shared" si="5"/>
        <v/>
      </c>
      <c r="N360" t="str">
        <f>IF(OR(C360="",D360=""),"",IFERROR(IF(_xludf.XLOOKUP(C360,'Master Calendar'!$A$2:$A$6,'Master Calendar'!$C$2:$C$6)=D360,"YES","NO"),"NO"))</f>
        <v/>
      </c>
    </row>
    <row r="361" spans="12:14" x14ac:dyDescent="0.25">
      <c r="L361" t="str">
        <f t="shared" si="5"/>
        <v/>
      </c>
      <c r="N361" t="str">
        <f>IF(OR(C361="",D361=""),"",IFERROR(IF(_xludf.XLOOKUP(C361,'Master Calendar'!$A$2:$A$6,'Master Calendar'!$C$2:$C$6)=D361,"YES","NO"),"NO"))</f>
        <v/>
      </c>
    </row>
    <row r="362" spans="12:14" x14ac:dyDescent="0.25">
      <c r="L362" t="str">
        <f t="shared" si="5"/>
        <v/>
      </c>
      <c r="N362" t="str">
        <f>IF(OR(C362="",D362=""),"",IFERROR(IF(_xludf.XLOOKUP(C362,'Master Calendar'!$A$2:$A$6,'Master Calendar'!$C$2:$C$6)=D362,"YES","NO"),"NO"))</f>
        <v/>
      </c>
    </row>
    <row r="363" spans="12:14" x14ac:dyDescent="0.25">
      <c r="L363" t="str">
        <f t="shared" si="5"/>
        <v/>
      </c>
      <c r="N363" t="str">
        <f>IF(OR(C363="",D363=""),"",IFERROR(IF(_xludf.XLOOKUP(C363,'Master Calendar'!$A$2:$A$6,'Master Calendar'!$C$2:$C$6)=D363,"YES","NO"),"NO"))</f>
        <v/>
      </c>
    </row>
    <row r="364" spans="12:14" x14ac:dyDescent="0.25">
      <c r="L364" t="str">
        <f t="shared" si="5"/>
        <v/>
      </c>
      <c r="N364" t="str">
        <f>IF(OR(C364="",D364=""),"",IFERROR(IF(_xludf.XLOOKUP(C364,'Master Calendar'!$A$2:$A$6,'Master Calendar'!$C$2:$C$6)=D364,"YES","NO"),"NO"))</f>
        <v/>
      </c>
    </row>
    <row r="365" spans="12:14" x14ac:dyDescent="0.25">
      <c r="L365" t="str">
        <f t="shared" si="5"/>
        <v/>
      </c>
      <c r="N365" t="str">
        <f>IF(OR(C365="",D365=""),"",IFERROR(IF(_xludf.XLOOKUP(C365,'Master Calendar'!$A$2:$A$6,'Master Calendar'!$C$2:$C$6)=D365,"YES","NO"),"NO"))</f>
        <v/>
      </c>
    </row>
    <row r="366" spans="12:14" x14ac:dyDescent="0.25">
      <c r="L366" t="str">
        <f t="shared" si="5"/>
        <v/>
      </c>
      <c r="N366" t="str">
        <f>IF(OR(C366="",D366=""),"",IFERROR(IF(_xludf.XLOOKUP(C366,'Master Calendar'!$A$2:$A$6,'Master Calendar'!$C$2:$C$6)=D366,"YES","NO"),"NO"))</f>
        <v/>
      </c>
    </row>
    <row r="367" spans="12:14" x14ac:dyDescent="0.25">
      <c r="L367" t="str">
        <f t="shared" si="5"/>
        <v/>
      </c>
      <c r="N367" t="str">
        <f>IF(OR(C367="",D367=""),"",IFERROR(IF(_xludf.XLOOKUP(C367,'Master Calendar'!$A$2:$A$6,'Master Calendar'!$C$2:$C$6)=D367,"YES","NO"),"NO"))</f>
        <v/>
      </c>
    </row>
    <row r="368" spans="12:14" x14ac:dyDescent="0.25">
      <c r="L368" t="str">
        <f t="shared" si="5"/>
        <v/>
      </c>
      <c r="N368" t="str">
        <f>IF(OR(C368="",D368=""),"",IFERROR(IF(_xludf.XLOOKUP(C368,'Master Calendar'!$A$2:$A$6,'Master Calendar'!$C$2:$C$6)=D368,"YES","NO"),"NO"))</f>
        <v/>
      </c>
    </row>
    <row r="369" spans="12:14" x14ac:dyDescent="0.25">
      <c r="L369" t="str">
        <f t="shared" si="5"/>
        <v/>
      </c>
      <c r="N369" t="str">
        <f>IF(OR(C369="",D369=""),"",IFERROR(IF(_xludf.XLOOKUP(C369,'Master Calendar'!$A$2:$A$6,'Master Calendar'!$C$2:$C$6)=D369,"YES","NO"),"NO"))</f>
        <v/>
      </c>
    </row>
    <row r="370" spans="12:14" x14ac:dyDescent="0.25">
      <c r="L370" t="str">
        <f t="shared" si="5"/>
        <v/>
      </c>
      <c r="N370" t="str">
        <f>IF(OR(C370="",D370=""),"",IFERROR(IF(_xludf.XLOOKUP(C370,'Master Calendar'!$A$2:$A$6,'Master Calendar'!$C$2:$C$6)=D370,"YES","NO"),"NO"))</f>
        <v/>
      </c>
    </row>
    <row r="371" spans="12:14" x14ac:dyDescent="0.25">
      <c r="L371" t="str">
        <f t="shared" si="5"/>
        <v/>
      </c>
      <c r="N371" t="str">
        <f>IF(OR(C371="",D371=""),"",IFERROR(IF(_xludf.XLOOKUP(C371,'Master Calendar'!$A$2:$A$6,'Master Calendar'!$C$2:$C$6)=D371,"YES","NO"),"NO"))</f>
        <v/>
      </c>
    </row>
    <row r="372" spans="12:14" x14ac:dyDescent="0.25">
      <c r="L372" t="str">
        <f t="shared" si="5"/>
        <v/>
      </c>
      <c r="N372" t="str">
        <f>IF(OR(C372="",D372=""),"",IFERROR(IF(_xludf.XLOOKUP(C372,'Master Calendar'!$A$2:$A$6,'Master Calendar'!$C$2:$C$6)=D372,"YES","NO"),"NO"))</f>
        <v/>
      </c>
    </row>
    <row r="373" spans="12:14" x14ac:dyDescent="0.25">
      <c r="L373" t="str">
        <f t="shared" si="5"/>
        <v/>
      </c>
      <c r="N373" t="str">
        <f>IF(OR(C373="",D373=""),"",IFERROR(IF(_xludf.XLOOKUP(C373,'Master Calendar'!$A$2:$A$6,'Master Calendar'!$C$2:$C$6)=D373,"YES","NO"),"NO"))</f>
        <v/>
      </c>
    </row>
    <row r="374" spans="12:14" x14ac:dyDescent="0.25">
      <c r="L374" t="str">
        <f t="shared" si="5"/>
        <v/>
      </c>
      <c r="N374" t="str">
        <f>IF(OR(C374="",D374=""),"",IFERROR(IF(_xludf.XLOOKUP(C374,'Master Calendar'!$A$2:$A$6,'Master Calendar'!$C$2:$C$6)=D374,"YES","NO"),"NO"))</f>
        <v/>
      </c>
    </row>
    <row r="375" spans="12:14" x14ac:dyDescent="0.25">
      <c r="L375" t="str">
        <f t="shared" si="5"/>
        <v/>
      </c>
      <c r="N375" t="str">
        <f>IF(OR(C375="",D375=""),"",IFERROR(IF(_xludf.XLOOKUP(C375,'Master Calendar'!$A$2:$A$6,'Master Calendar'!$C$2:$C$6)=D375,"YES","NO"),"NO"))</f>
        <v/>
      </c>
    </row>
    <row r="376" spans="12:14" x14ac:dyDescent="0.25">
      <c r="L376" t="str">
        <f t="shared" si="5"/>
        <v/>
      </c>
      <c r="N376" t="str">
        <f>IF(OR(C376="",D376=""),"",IFERROR(IF(_xludf.XLOOKUP(C376,'Master Calendar'!$A$2:$A$6,'Master Calendar'!$C$2:$C$6)=D376,"YES","NO"),"NO"))</f>
        <v/>
      </c>
    </row>
    <row r="377" spans="12:14" x14ac:dyDescent="0.25">
      <c r="L377" t="str">
        <f t="shared" si="5"/>
        <v/>
      </c>
      <c r="N377" t="str">
        <f>IF(OR(C377="",D377=""),"",IFERROR(IF(_xludf.XLOOKUP(C377,'Master Calendar'!$A$2:$A$6,'Master Calendar'!$C$2:$C$6)=D377,"YES","NO"),"NO"))</f>
        <v/>
      </c>
    </row>
    <row r="378" spans="12:14" x14ac:dyDescent="0.25">
      <c r="L378" t="str">
        <f t="shared" si="5"/>
        <v/>
      </c>
      <c r="N378" t="str">
        <f>IF(OR(C378="",D378=""),"",IFERROR(IF(_xludf.XLOOKUP(C378,'Master Calendar'!$A$2:$A$6,'Master Calendar'!$C$2:$C$6)=D378,"YES","NO"),"NO"))</f>
        <v/>
      </c>
    </row>
    <row r="379" spans="12:14" x14ac:dyDescent="0.25">
      <c r="L379" t="str">
        <f t="shared" si="5"/>
        <v/>
      </c>
      <c r="N379" t="str">
        <f>IF(OR(C379="",D379=""),"",IFERROR(IF(_xludf.XLOOKUP(C379,'Master Calendar'!$A$2:$A$6,'Master Calendar'!$C$2:$C$6)=D379,"YES","NO"),"NO"))</f>
        <v/>
      </c>
    </row>
    <row r="380" spans="12:14" x14ac:dyDescent="0.25">
      <c r="L380" t="str">
        <f t="shared" si="5"/>
        <v/>
      </c>
      <c r="N380" t="str">
        <f>IF(OR(C380="",D380=""),"",IFERROR(IF(_xludf.XLOOKUP(C380,'Master Calendar'!$A$2:$A$6,'Master Calendar'!$C$2:$C$6)=D380,"YES","NO"),"NO"))</f>
        <v/>
      </c>
    </row>
    <row r="381" spans="12:14" x14ac:dyDescent="0.25">
      <c r="L381" t="str">
        <f t="shared" si="5"/>
        <v/>
      </c>
      <c r="N381" t="str">
        <f>IF(OR(C381="",D381=""),"",IFERROR(IF(_xludf.XLOOKUP(C381,'Master Calendar'!$A$2:$A$6,'Master Calendar'!$C$2:$C$6)=D381,"YES","NO"),"NO"))</f>
        <v/>
      </c>
    </row>
    <row r="382" spans="12:14" x14ac:dyDescent="0.25">
      <c r="L382" t="str">
        <f t="shared" si="5"/>
        <v/>
      </c>
      <c r="N382" t="str">
        <f>IF(OR(C382="",D382=""),"",IFERROR(IF(_xludf.XLOOKUP(C382,'Master Calendar'!$A$2:$A$6,'Master Calendar'!$C$2:$C$6)=D382,"YES","NO"),"NO"))</f>
        <v/>
      </c>
    </row>
    <row r="383" spans="12:14" x14ac:dyDescent="0.25">
      <c r="L383" t="str">
        <f t="shared" si="5"/>
        <v/>
      </c>
      <c r="N383" t="str">
        <f>IF(OR(C383="",D383=""),"",IFERROR(IF(_xludf.XLOOKUP(C383,'Master Calendar'!$A$2:$A$6,'Master Calendar'!$C$2:$C$6)=D383,"YES","NO"),"NO"))</f>
        <v/>
      </c>
    </row>
    <row r="384" spans="12:14" x14ac:dyDescent="0.25">
      <c r="L384" t="str">
        <f t="shared" si="5"/>
        <v/>
      </c>
      <c r="N384" t="str">
        <f>IF(OR(C384="",D384=""),"",IFERROR(IF(_xludf.XLOOKUP(C384,'Master Calendar'!$A$2:$A$6,'Master Calendar'!$C$2:$C$6)=D384,"YES","NO"),"NO"))</f>
        <v/>
      </c>
    </row>
    <row r="385" spans="12:14" x14ac:dyDescent="0.25">
      <c r="L385" t="str">
        <f t="shared" si="5"/>
        <v/>
      </c>
      <c r="N385" t="str">
        <f>IF(OR(C385="",D385=""),"",IFERROR(IF(_xludf.XLOOKUP(C385,'Master Calendar'!$A$2:$A$6,'Master Calendar'!$C$2:$C$6)=D385,"YES","NO"),"NO"))</f>
        <v/>
      </c>
    </row>
    <row r="386" spans="12:14" x14ac:dyDescent="0.25">
      <c r="L386" t="str">
        <f t="shared" ref="L386:L449" si="6">IF(OR(J386="",K386=""),"",K386*J386/100)</f>
        <v/>
      </c>
      <c r="N386" t="str">
        <f>IF(OR(C386="",D386=""),"",IFERROR(IF(_xludf.XLOOKUP(C386,'Master Calendar'!$A$2:$A$6,'Master Calendar'!$C$2:$C$6)=D386,"YES","NO"),"NO"))</f>
        <v/>
      </c>
    </row>
    <row r="387" spans="12:14" x14ac:dyDescent="0.25">
      <c r="L387" t="str">
        <f t="shared" si="6"/>
        <v/>
      </c>
      <c r="N387" t="str">
        <f>IF(OR(C387="",D387=""),"",IFERROR(IF(_xludf.XLOOKUP(C387,'Master Calendar'!$A$2:$A$6,'Master Calendar'!$C$2:$C$6)=D387,"YES","NO"),"NO"))</f>
        <v/>
      </c>
    </row>
    <row r="388" spans="12:14" x14ac:dyDescent="0.25">
      <c r="L388" t="str">
        <f t="shared" si="6"/>
        <v/>
      </c>
      <c r="N388" t="str">
        <f>IF(OR(C388="",D388=""),"",IFERROR(IF(_xludf.XLOOKUP(C388,'Master Calendar'!$A$2:$A$6,'Master Calendar'!$C$2:$C$6)=D388,"YES","NO"),"NO"))</f>
        <v/>
      </c>
    </row>
    <row r="389" spans="12:14" x14ac:dyDescent="0.25">
      <c r="L389" t="str">
        <f t="shared" si="6"/>
        <v/>
      </c>
      <c r="N389" t="str">
        <f>IF(OR(C389="",D389=""),"",IFERROR(IF(_xludf.XLOOKUP(C389,'Master Calendar'!$A$2:$A$6,'Master Calendar'!$C$2:$C$6)=D389,"YES","NO"),"NO"))</f>
        <v/>
      </c>
    </row>
    <row r="390" spans="12:14" x14ac:dyDescent="0.25">
      <c r="L390" t="str">
        <f t="shared" si="6"/>
        <v/>
      </c>
      <c r="N390" t="str">
        <f>IF(OR(C390="",D390=""),"",IFERROR(IF(_xludf.XLOOKUP(C390,'Master Calendar'!$A$2:$A$6,'Master Calendar'!$C$2:$C$6)=D390,"YES","NO"),"NO"))</f>
        <v/>
      </c>
    </row>
    <row r="391" spans="12:14" x14ac:dyDescent="0.25">
      <c r="L391" t="str">
        <f t="shared" si="6"/>
        <v/>
      </c>
      <c r="N391" t="str">
        <f>IF(OR(C391="",D391=""),"",IFERROR(IF(_xludf.XLOOKUP(C391,'Master Calendar'!$A$2:$A$6,'Master Calendar'!$C$2:$C$6)=D391,"YES","NO"),"NO"))</f>
        <v/>
      </c>
    </row>
    <row r="392" spans="12:14" x14ac:dyDescent="0.25">
      <c r="L392" t="str">
        <f t="shared" si="6"/>
        <v/>
      </c>
      <c r="N392" t="str">
        <f>IF(OR(C392="",D392=""),"",IFERROR(IF(_xludf.XLOOKUP(C392,'Master Calendar'!$A$2:$A$6,'Master Calendar'!$C$2:$C$6)=D392,"YES","NO"),"NO"))</f>
        <v/>
      </c>
    </row>
    <row r="393" spans="12:14" x14ac:dyDescent="0.25">
      <c r="L393" t="str">
        <f t="shared" si="6"/>
        <v/>
      </c>
      <c r="N393" t="str">
        <f>IF(OR(C393="",D393=""),"",IFERROR(IF(_xludf.XLOOKUP(C393,'Master Calendar'!$A$2:$A$6,'Master Calendar'!$C$2:$C$6)=D393,"YES","NO"),"NO"))</f>
        <v/>
      </c>
    </row>
    <row r="394" spans="12:14" x14ac:dyDescent="0.25">
      <c r="L394" t="str">
        <f t="shared" si="6"/>
        <v/>
      </c>
      <c r="N394" t="str">
        <f>IF(OR(C394="",D394=""),"",IFERROR(IF(_xludf.XLOOKUP(C394,'Master Calendar'!$A$2:$A$6,'Master Calendar'!$C$2:$C$6)=D394,"YES","NO"),"NO"))</f>
        <v/>
      </c>
    </row>
    <row r="395" spans="12:14" x14ac:dyDescent="0.25">
      <c r="L395" t="str">
        <f t="shared" si="6"/>
        <v/>
      </c>
      <c r="N395" t="str">
        <f>IF(OR(C395="",D395=""),"",IFERROR(IF(_xludf.XLOOKUP(C395,'Master Calendar'!$A$2:$A$6,'Master Calendar'!$C$2:$C$6)=D395,"YES","NO"),"NO"))</f>
        <v/>
      </c>
    </row>
    <row r="396" spans="12:14" x14ac:dyDescent="0.25">
      <c r="L396" t="str">
        <f t="shared" si="6"/>
        <v/>
      </c>
      <c r="N396" t="str">
        <f>IF(OR(C396="",D396=""),"",IFERROR(IF(_xludf.XLOOKUP(C396,'Master Calendar'!$A$2:$A$6,'Master Calendar'!$C$2:$C$6)=D396,"YES","NO"),"NO"))</f>
        <v/>
      </c>
    </row>
    <row r="397" spans="12:14" x14ac:dyDescent="0.25">
      <c r="L397" t="str">
        <f t="shared" si="6"/>
        <v/>
      </c>
      <c r="N397" t="str">
        <f>IF(OR(C397="",D397=""),"",IFERROR(IF(_xludf.XLOOKUP(C397,'Master Calendar'!$A$2:$A$6,'Master Calendar'!$C$2:$C$6)=D397,"YES","NO"),"NO"))</f>
        <v/>
      </c>
    </row>
    <row r="398" spans="12:14" x14ac:dyDescent="0.25">
      <c r="L398" t="str">
        <f t="shared" si="6"/>
        <v/>
      </c>
      <c r="N398" t="str">
        <f>IF(OR(C398="",D398=""),"",IFERROR(IF(_xludf.XLOOKUP(C398,'Master Calendar'!$A$2:$A$6,'Master Calendar'!$C$2:$C$6)=D398,"YES","NO"),"NO"))</f>
        <v/>
      </c>
    </row>
    <row r="399" spans="12:14" x14ac:dyDescent="0.25">
      <c r="L399" t="str">
        <f t="shared" si="6"/>
        <v/>
      </c>
      <c r="N399" t="str">
        <f>IF(OR(C399="",D399=""),"",IFERROR(IF(_xludf.XLOOKUP(C399,'Master Calendar'!$A$2:$A$6,'Master Calendar'!$C$2:$C$6)=D399,"YES","NO"),"NO"))</f>
        <v/>
      </c>
    </row>
    <row r="400" spans="12:14" x14ac:dyDescent="0.25">
      <c r="L400" t="str">
        <f t="shared" si="6"/>
        <v/>
      </c>
      <c r="N400" t="str">
        <f>IF(OR(C400="",D400=""),"",IFERROR(IF(_xludf.XLOOKUP(C400,'Master Calendar'!$A$2:$A$6,'Master Calendar'!$C$2:$C$6)=D400,"YES","NO"),"NO"))</f>
        <v/>
      </c>
    </row>
    <row r="401" spans="12:14" x14ac:dyDescent="0.25">
      <c r="L401" t="str">
        <f t="shared" si="6"/>
        <v/>
      </c>
      <c r="N401" t="str">
        <f>IF(OR(C401="",D401=""),"",IFERROR(IF(_xludf.XLOOKUP(C401,'Master Calendar'!$A$2:$A$6,'Master Calendar'!$C$2:$C$6)=D401,"YES","NO"),"NO"))</f>
        <v/>
      </c>
    </row>
    <row r="402" spans="12:14" x14ac:dyDescent="0.25">
      <c r="L402" t="str">
        <f t="shared" si="6"/>
        <v/>
      </c>
      <c r="N402" t="str">
        <f>IF(OR(C402="",D402=""),"",IFERROR(IF(_xludf.XLOOKUP(C402,'Master Calendar'!$A$2:$A$6,'Master Calendar'!$C$2:$C$6)=D402,"YES","NO"),"NO"))</f>
        <v/>
      </c>
    </row>
    <row r="403" spans="12:14" x14ac:dyDescent="0.25">
      <c r="L403" t="str">
        <f t="shared" si="6"/>
        <v/>
      </c>
      <c r="N403" t="str">
        <f>IF(OR(C403="",D403=""),"",IFERROR(IF(_xludf.XLOOKUP(C403,'Master Calendar'!$A$2:$A$6,'Master Calendar'!$C$2:$C$6)=D403,"YES","NO"),"NO"))</f>
        <v/>
      </c>
    </row>
    <row r="404" spans="12:14" x14ac:dyDescent="0.25">
      <c r="L404" t="str">
        <f t="shared" si="6"/>
        <v/>
      </c>
      <c r="N404" t="str">
        <f>IF(OR(C404="",D404=""),"",IFERROR(IF(_xludf.XLOOKUP(C404,'Master Calendar'!$A$2:$A$6,'Master Calendar'!$C$2:$C$6)=D404,"YES","NO"),"NO"))</f>
        <v/>
      </c>
    </row>
    <row r="405" spans="12:14" x14ac:dyDescent="0.25">
      <c r="L405" t="str">
        <f t="shared" si="6"/>
        <v/>
      </c>
      <c r="N405" t="str">
        <f>IF(OR(C405="",D405=""),"",IFERROR(IF(_xludf.XLOOKUP(C405,'Master Calendar'!$A$2:$A$6,'Master Calendar'!$C$2:$C$6)=D405,"YES","NO"),"NO"))</f>
        <v/>
      </c>
    </row>
    <row r="406" spans="12:14" x14ac:dyDescent="0.25">
      <c r="L406" t="str">
        <f t="shared" si="6"/>
        <v/>
      </c>
      <c r="N406" t="str">
        <f>IF(OR(C406="",D406=""),"",IFERROR(IF(_xludf.XLOOKUP(C406,'Master Calendar'!$A$2:$A$6,'Master Calendar'!$C$2:$C$6)=D406,"YES","NO"),"NO"))</f>
        <v/>
      </c>
    </row>
    <row r="407" spans="12:14" x14ac:dyDescent="0.25">
      <c r="L407" t="str">
        <f t="shared" si="6"/>
        <v/>
      </c>
      <c r="N407" t="str">
        <f>IF(OR(C407="",D407=""),"",IFERROR(IF(_xludf.XLOOKUP(C407,'Master Calendar'!$A$2:$A$6,'Master Calendar'!$C$2:$C$6)=D407,"YES","NO"),"NO"))</f>
        <v/>
      </c>
    </row>
    <row r="408" spans="12:14" x14ac:dyDescent="0.25">
      <c r="L408" t="str">
        <f t="shared" si="6"/>
        <v/>
      </c>
      <c r="N408" t="str">
        <f>IF(OR(C408="",D408=""),"",IFERROR(IF(_xludf.XLOOKUP(C408,'Master Calendar'!$A$2:$A$6,'Master Calendar'!$C$2:$C$6)=D408,"YES","NO"),"NO"))</f>
        <v/>
      </c>
    </row>
    <row r="409" spans="12:14" x14ac:dyDescent="0.25">
      <c r="L409" t="str">
        <f t="shared" si="6"/>
        <v/>
      </c>
      <c r="N409" t="str">
        <f>IF(OR(C409="",D409=""),"",IFERROR(IF(_xludf.XLOOKUP(C409,'Master Calendar'!$A$2:$A$6,'Master Calendar'!$C$2:$C$6)=D409,"YES","NO"),"NO"))</f>
        <v/>
      </c>
    </row>
    <row r="410" spans="12:14" x14ac:dyDescent="0.25">
      <c r="L410" t="str">
        <f t="shared" si="6"/>
        <v/>
      </c>
      <c r="N410" t="str">
        <f>IF(OR(C410="",D410=""),"",IFERROR(IF(_xludf.XLOOKUP(C410,'Master Calendar'!$A$2:$A$6,'Master Calendar'!$C$2:$C$6)=D410,"YES","NO"),"NO"))</f>
        <v/>
      </c>
    </row>
    <row r="411" spans="12:14" x14ac:dyDescent="0.25">
      <c r="L411" t="str">
        <f t="shared" si="6"/>
        <v/>
      </c>
      <c r="N411" t="str">
        <f>IF(OR(C411="",D411=""),"",IFERROR(IF(_xludf.XLOOKUP(C411,'Master Calendar'!$A$2:$A$6,'Master Calendar'!$C$2:$C$6)=D411,"YES","NO"),"NO"))</f>
        <v/>
      </c>
    </row>
    <row r="412" spans="12:14" x14ac:dyDescent="0.25">
      <c r="L412" t="str">
        <f t="shared" si="6"/>
        <v/>
      </c>
      <c r="N412" t="str">
        <f>IF(OR(C412="",D412=""),"",IFERROR(IF(_xludf.XLOOKUP(C412,'Master Calendar'!$A$2:$A$6,'Master Calendar'!$C$2:$C$6)=D412,"YES","NO"),"NO"))</f>
        <v/>
      </c>
    </row>
    <row r="413" spans="12:14" x14ac:dyDescent="0.25">
      <c r="L413" t="str">
        <f t="shared" si="6"/>
        <v/>
      </c>
      <c r="N413" t="str">
        <f>IF(OR(C413="",D413=""),"",IFERROR(IF(_xludf.XLOOKUP(C413,'Master Calendar'!$A$2:$A$6,'Master Calendar'!$C$2:$C$6)=D413,"YES","NO"),"NO"))</f>
        <v/>
      </c>
    </row>
    <row r="414" spans="12:14" x14ac:dyDescent="0.25">
      <c r="L414" t="str">
        <f t="shared" si="6"/>
        <v/>
      </c>
      <c r="N414" t="str">
        <f>IF(OR(C414="",D414=""),"",IFERROR(IF(_xludf.XLOOKUP(C414,'Master Calendar'!$A$2:$A$6,'Master Calendar'!$C$2:$C$6)=D414,"YES","NO"),"NO"))</f>
        <v/>
      </c>
    </row>
    <row r="415" spans="12:14" x14ac:dyDescent="0.25">
      <c r="L415" t="str">
        <f t="shared" si="6"/>
        <v/>
      </c>
      <c r="N415" t="str">
        <f>IF(OR(C415="",D415=""),"",IFERROR(IF(_xludf.XLOOKUP(C415,'Master Calendar'!$A$2:$A$6,'Master Calendar'!$C$2:$C$6)=D415,"YES","NO"),"NO"))</f>
        <v/>
      </c>
    </row>
    <row r="416" spans="12:14" x14ac:dyDescent="0.25">
      <c r="L416" t="str">
        <f t="shared" si="6"/>
        <v/>
      </c>
      <c r="N416" t="str">
        <f>IF(OR(C416="",D416=""),"",IFERROR(IF(_xludf.XLOOKUP(C416,'Master Calendar'!$A$2:$A$6,'Master Calendar'!$C$2:$C$6)=D416,"YES","NO"),"NO"))</f>
        <v/>
      </c>
    </row>
    <row r="417" spans="12:14" x14ac:dyDescent="0.25">
      <c r="L417" t="str">
        <f t="shared" si="6"/>
        <v/>
      </c>
      <c r="N417" t="str">
        <f>IF(OR(C417="",D417=""),"",IFERROR(IF(_xludf.XLOOKUP(C417,'Master Calendar'!$A$2:$A$6,'Master Calendar'!$C$2:$C$6)=D417,"YES","NO"),"NO"))</f>
        <v/>
      </c>
    </row>
    <row r="418" spans="12:14" x14ac:dyDescent="0.25">
      <c r="L418" t="str">
        <f t="shared" si="6"/>
        <v/>
      </c>
      <c r="N418" t="str">
        <f>IF(OR(C418="",D418=""),"",IFERROR(IF(_xludf.XLOOKUP(C418,'Master Calendar'!$A$2:$A$6,'Master Calendar'!$C$2:$C$6)=D418,"YES","NO"),"NO"))</f>
        <v/>
      </c>
    </row>
    <row r="419" spans="12:14" x14ac:dyDescent="0.25">
      <c r="L419" t="str">
        <f t="shared" si="6"/>
        <v/>
      </c>
      <c r="N419" t="str">
        <f>IF(OR(C419="",D419=""),"",IFERROR(IF(_xludf.XLOOKUP(C419,'Master Calendar'!$A$2:$A$6,'Master Calendar'!$C$2:$C$6)=D419,"YES","NO"),"NO"))</f>
        <v/>
      </c>
    </row>
    <row r="420" spans="12:14" x14ac:dyDescent="0.25">
      <c r="L420" t="str">
        <f t="shared" si="6"/>
        <v/>
      </c>
      <c r="N420" t="str">
        <f>IF(OR(C420="",D420=""),"",IFERROR(IF(_xludf.XLOOKUP(C420,'Master Calendar'!$A$2:$A$6,'Master Calendar'!$C$2:$C$6)=D420,"YES","NO"),"NO"))</f>
        <v/>
      </c>
    </row>
    <row r="421" spans="12:14" x14ac:dyDescent="0.25">
      <c r="L421" t="str">
        <f t="shared" si="6"/>
        <v/>
      </c>
      <c r="N421" t="str">
        <f>IF(OR(C421="",D421=""),"",IFERROR(IF(_xludf.XLOOKUP(C421,'Master Calendar'!$A$2:$A$6,'Master Calendar'!$C$2:$C$6)=D421,"YES","NO"),"NO"))</f>
        <v/>
      </c>
    </row>
    <row r="422" spans="12:14" x14ac:dyDescent="0.25">
      <c r="L422" t="str">
        <f t="shared" si="6"/>
        <v/>
      </c>
      <c r="N422" t="str">
        <f>IF(OR(C422="",D422=""),"",IFERROR(IF(_xludf.XLOOKUP(C422,'Master Calendar'!$A$2:$A$6,'Master Calendar'!$C$2:$C$6)=D422,"YES","NO"),"NO"))</f>
        <v/>
      </c>
    </row>
    <row r="423" spans="12:14" x14ac:dyDescent="0.25">
      <c r="L423" t="str">
        <f t="shared" si="6"/>
        <v/>
      </c>
      <c r="N423" t="str">
        <f>IF(OR(C423="",D423=""),"",IFERROR(IF(_xludf.XLOOKUP(C423,'Master Calendar'!$A$2:$A$6,'Master Calendar'!$C$2:$C$6)=D423,"YES","NO"),"NO"))</f>
        <v/>
      </c>
    </row>
    <row r="424" spans="12:14" x14ac:dyDescent="0.25">
      <c r="L424" t="str">
        <f t="shared" si="6"/>
        <v/>
      </c>
      <c r="N424" t="str">
        <f>IF(OR(C424="",D424=""),"",IFERROR(IF(_xludf.XLOOKUP(C424,'Master Calendar'!$A$2:$A$6,'Master Calendar'!$C$2:$C$6)=D424,"YES","NO"),"NO"))</f>
        <v/>
      </c>
    </row>
    <row r="425" spans="12:14" x14ac:dyDescent="0.25">
      <c r="L425" t="str">
        <f t="shared" si="6"/>
        <v/>
      </c>
      <c r="N425" t="str">
        <f>IF(OR(C425="",D425=""),"",IFERROR(IF(_xludf.XLOOKUP(C425,'Master Calendar'!$A$2:$A$6,'Master Calendar'!$C$2:$C$6)=D425,"YES","NO"),"NO"))</f>
        <v/>
      </c>
    </row>
    <row r="426" spans="12:14" x14ac:dyDescent="0.25">
      <c r="L426" t="str">
        <f t="shared" si="6"/>
        <v/>
      </c>
      <c r="N426" t="str">
        <f>IF(OR(C426="",D426=""),"",IFERROR(IF(_xludf.XLOOKUP(C426,'Master Calendar'!$A$2:$A$6,'Master Calendar'!$C$2:$C$6)=D426,"YES","NO"),"NO"))</f>
        <v/>
      </c>
    </row>
    <row r="427" spans="12:14" x14ac:dyDescent="0.25">
      <c r="L427" t="str">
        <f t="shared" si="6"/>
        <v/>
      </c>
      <c r="N427" t="str">
        <f>IF(OR(C427="",D427=""),"",IFERROR(IF(_xludf.XLOOKUP(C427,'Master Calendar'!$A$2:$A$6,'Master Calendar'!$C$2:$C$6)=D427,"YES","NO"),"NO"))</f>
        <v/>
      </c>
    </row>
    <row r="428" spans="12:14" x14ac:dyDescent="0.25">
      <c r="L428" t="str">
        <f t="shared" si="6"/>
        <v/>
      </c>
      <c r="N428" t="str">
        <f>IF(OR(C428="",D428=""),"",IFERROR(IF(_xludf.XLOOKUP(C428,'Master Calendar'!$A$2:$A$6,'Master Calendar'!$C$2:$C$6)=D428,"YES","NO"),"NO"))</f>
        <v/>
      </c>
    </row>
    <row r="429" spans="12:14" x14ac:dyDescent="0.25">
      <c r="L429" t="str">
        <f t="shared" si="6"/>
        <v/>
      </c>
      <c r="N429" t="str">
        <f>IF(OR(C429="",D429=""),"",IFERROR(IF(_xludf.XLOOKUP(C429,'Master Calendar'!$A$2:$A$6,'Master Calendar'!$C$2:$C$6)=D429,"YES","NO"),"NO"))</f>
        <v/>
      </c>
    </row>
    <row r="430" spans="12:14" x14ac:dyDescent="0.25">
      <c r="L430" t="str">
        <f t="shared" si="6"/>
        <v/>
      </c>
      <c r="N430" t="str">
        <f>IF(OR(C430="",D430=""),"",IFERROR(IF(_xludf.XLOOKUP(C430,'Master Calendar'!$A$2:$A$6,'Master Calendar'!$C$2:$C$6)=D430,"YES","NO"),"NO"))</f>
        <v/>
      </c>
    </row>
    <row r="431" spans="12:14" x14ac:dyDescent="0.25">
      <c r="L431" t="str">
        <f t="shared" si="6"/>
        <v/>
      </c>
      <c r="N431" t="str">
        <f>IF(OR(C431="",D431=""),"",IFERROR(IF(_xludf.XLOOKUP(C431,'Master Calendar'!$A$2:$A$6,'Master Calendar'!$C$2:$C$6)=D431,"YES","NO"),"NO"))</f>
        <v/>
      </c>
    </row>
    <row r="432" spans="12:14" x14ac:dyDescent="0.25">
      <c r="L432" t="str">
        <f t="shared" si="6"/>
        <v/>
      </c>
      <c r="N432" t="str">
        <f>IF(OR(C432="",D432=""),"",IFERROR(IF(_xludf.XLOOKUP(C432,'Master Calendar'!$A$2:$A$6,'Master Calendar'!$C$2:$C$6)=D432,"YES","NO"),"NO"))</f>
        <v/>
      </c>
    </row>
    <row r="433" spans="12:14" x14ac:dyDescent="0.25">
      <c r="L433" t="str">
        <f t="shared" si="6"/>
        <v/>
      </c>
      <c r="N433" t="str">
        <f>IF(OR(C433="",D433=""),"",IFERROR(IF(_xludf.XLOOKUP(C433,'Master Calendar'!$A$2:$A$6,'Master Calendar'!$C$2:$C$6)=D433,"YES","NO"),"NO"))</f>
        <v/>
      </c>
    </row>
    <row r="434" spans="12:14" x14ac:dyDescent="0.25">
      <c r="L434" t="str">
        <f t="shared" si="6"/>
        <v/>
      </c>
      <c r="N434" t="str">
        <f>IF(OR(C434="",D434=""),"",IFERROR(IF(_xludf.XLOOKUP(C434,'Master Calendar'!$A$2:$A$6,'Master Calendar'!$C$2:$C$6)=D434,"YES","NO"),"NO"))</f>
        <v/>
      </c>
    </row>
    <row r="435" spans="12:14" x14ac:dyDescent="0.25">
      <c r="L435" t="str">
        <f t="shared" si="6"/>
        <v/>
      </c>
      <c r="N435" t="str">
        <f>IF(OR(C435="",D435=""),"",IFERROR(IF(_xludf.XLOOKUP(C435,'Master Calendar'!$A$2:$A$6,'Master Calendar'!$C$2:$C$6)=D435,"YES","NO"),"NO"))</f>
        <v/>
      </c>
    </row>
    <row r="436" spans="12:14" x14ac:dyDescent="0.25">
      <c r="L436" t="str">
        <f t="shared" si="6"/>
        <v/>
      </c>
      <c r="N436" t="str">
        <f>IF(OR(C436="",D436=""),"",IFERROR(IF(_xludf.XLOOKUP(C436,'Master Calendar'!$A$2:$A$6,'Master Calendar'!$C$2:$C$6)=D436,"YES","NO"),"NO"))</f>
        <v/>
      </c>
    </row>
    <row r="437" spans="12:14" x14ac:dyDescent="0.25">
      <c r="L437" t="str">
        <f t="shared" si="6"/>
        <v/>
      </c>
      <c r="N437" t="str">
        <f>IF(OR(C437="",D437=""),"",IFERROR(IF(_xludf.XLOOKUP(C437,'Master Calendar'!$A$2:$A$6,'Master Calendar'!$C$2:$C$6)=D437,"YES","NO"),"NO"))</f>
        <v/>
      </c>
    </row>
    <row r="438" spans="12:14" x14ac:dyDescent="0.25">
      <c r="L438" t="str">
        <f t="shared" si="6"/>
        <v/>
      </c>
      <c r="N438" t="str">
        <f>IF(OR(C438="",D438=""),"",IFERROR(IF(_xludf.XLOOKUP(C438,'Master Calendar'!$A$2:$A$6,'Master Calendar'!$C$2:$C$6)=D438,"YES","NO"),"NO"))</f>
        <v/>
      </c>
    </row>
    <row r="439" spans="12:14" x14ac:dyDescent="0.25">
      <c r="L439" t="str">
        <f t="shared" si="6"/>
        <v/>
      </c>
      <c r="N439" t="str">
        <f>IF(OR(C439="",D439=""),"",IFERROR(IF(_xludf.XLOOKUP(C439,'Master Calendar'!$A$2:$A$6,'Master Calendar'!$C$2:$C$6)=D439,"YES","NO"),"NO"))</f>
        <v/>
      </c>
    </row>
    <row r="440" spans="12:14" x14ac:dyDescent="0.25">
      <c r="L440" t="str">
        <f t="shared" si="6"/>
        <v/>
      </c>
      <c r="N440" t="str">
        <f>IF(OR(C440="",D440=""),"",IFERROR(IF(_xludf.XLOOKUP(C440,'Master Calendar'!$A$2:$A$6,'Master Calendar'!$C$2:$C$6)=D440,"YES","NO"),"NO"))</f>
        <v/>
      </c>
    </row>
    <row r="441" spans="12:14" x14ac:dyDescent="0.25">
      <c r="L441" t="str">
        <f t="shared" si="6"/>
        <v/>
      </c>
      <c r="N441" t="str">
        <f>IF(OR(C441="",D441=""),"",IFERROR(IF(_xludf.XLOOKUP(C441,'Master Calendar'!$A$2:$A$6,'Master Calendar'!$C$2:$C$6)=D441,"YES","NO"),"NO"))</f>
        <v/>
      </c>
    </row>
    <row r="442" spans="12:14" x14ac:dyDescent="0.25">
      <c r="L442" t="str">
        <f t="shared" si="6"/>
        <v/>
      </c>
      <c r="N442" t="str">
        <f>IF(OR(C442="",D442=""),"",IFERROR(IF(_xludf.XLOOKUP(C442,'Master Calendar'!$A$2:$A$6,'Master Calendar'!$C$2:$C$6)=D442,"YES","NO"),"NO"))</f>
        <v/>
      </c>
    </row>
    <row r="443" spans="12:14" x14ac:dyDescent="0.25">
      <c r="L443" t="str">
        <f t="shared" si="6"/>
        <v/>
      </c>
      <c r="N443" t="str">
        <f>IF(OR(C443="",D443=""),"",IFERROR(IF(_xludf.XLOOKUP(C443,'Master Calendar'!$A$2:$A$6,'Master Calendar'!$C$2:$C$6)=D443,"YES","NO"),"NO"))</f>
        <v/>
      </c>
    </row>
    <row r="444" spans="12:14" x14ac:dyDescent="0.25">
      <c r="L444" t="str">
        <f t="shared" si="6"/>
        <v/>
      </c>
      <c r="N444" t="str">
        <f>IF(OR(C444="",D444=""),"",IFERROR(IF(_xludf.XLOOKUP(C444,'Master Calendar'!$A$2:$A$6,'Master Calendar'!$C$2:$C$6)=D444,"YES","NO"),"NO"))</f>
        <v/>
      </c>
    </row>
    <row r="445" spans="12:14" x14ac:dyDescent="0.25">
      <c r="L445" t="str">
        <f t="shared" si="6"/>
        <v/>
      </c>
      <c r="N445" t="str">
        <f>IF(OR(C445="",D445=""),"",IFERROR(IF(_xludf.XLOOKUP(C445,'Master Calendar'!$A$2:$A$6,'Master Calendar'!$C$2:$C$6)=D445,"YES","NO"),"NO"))</f>
        <v/>
      </c>
    </row>
    <row r="446" spans="12:14" x14ac:dyDescent="0.25">
      <c r="L446" t="str">
        <f t="shared" si="6"/>
        <v/>
      </c>
      <c r="N446" t="str">
        <f>IF(OR(C446="",D446=""),"",IFERROR(IF(_xludf.XLOOKUP(C446,'Master Calendar'!$A$2:$A$6,'Master Calendar'!$C$2:$C$6)=D446,"YES","NO"),"NO"))</f>
        <v/>
      </c>
    </row>
    <row r="447" spans="12:14" x14ac:dyDescent="0.25">
      <c r="L447" t="str">
        <f t="shared" si="6"/>
        <v/>
      </c>
      <c r="N447" t="str">
        <f>IF(OR(C447="",D447=""),"",IFERROR(IF(_xludf.XLOOKUP(C447,'Master Calendar'!$A$2:$A$6,'Master Calendar'!$C$2:$C$6)=D447,"YES","NO"),"NO"))</f>
        <v/>
      </c>
    </row>
    <row r="448" spans="12:14" x14ac:dyDescent="0.25">
      <c r="L448" t="str">
        <f t="shared" si="6"/>
        <v/>
      </c>
      <c r="N448" t="str">
        <f>IF(OR(C448="",D448=""),"",IFERROR(IF(_xludf.XLOOKUP(C448,'Master Calendar'!$A$2:$A$6,'Master Calendar'!$C$2:$C$6)=D448,"YES","NO"),"NO"))</f>
        <v/>
      </c>
    </row>
    <row r="449" spans="12:14" x14ac:dyDescent="0.25">
      <c r="L449" t="str">
        <f t="shared" si="6"/>
        <v/>
      </c>
      <c r="N449" t="str">
        <f>IF(OR(C449="",D449=""),"",IFERROR(IF(_xludf.XLOOKUP(C449,'Master Calendar'!$A$2:$A$6,'Master Calendar'!$C$2:$C$6)=D449,"YES","NO"),"NO"))</f>
        <v/>
      </c>
    </row>
    <row r="450" spans="12:14" x14ac:dyDescent="0.25">
      <c r="L450" t="str">
        <f t="shared" ref="L450:L513" si="7">IF(OR(J450="",K450=""),"",K450*J450/100)</f>
        <v/>
      </c>
      <c r="N450" t="str">
        <f>IF(OR(C450="",D450=""),"",IFERROR(IF(_xludf.XLOOKUP(C450,'Master Calendar'!$A$2:$A$6,'Master Calendar'!$C$2:$C$6)=D450,"YES","NO"),"NO"))</f>
        <v/>
      </c>
    </row>
    <row r="451" spans="12:14" x14ac:dyDescent="0.25">
      <c r="L451" t="str">
        <f t="shared" si="7"/>
        <v/>
      </c>
      <c r="N451" t="str">
        <f>IF(OR(C451="",D451=""),"",IFERROR(IF(_xludf.XLOOKUP(C451,'Master Calendar'!$A$2:$A$6,'Master Calendar'!$C$2:$C$6)=D451,"YES","NO"),"NO"))</f>
        <v/>
      </c>
    </row>
    <row r="452" spans="12:14" x14ac:dyDescent="0.25">
      <c r="L452" t="str">
        <f t="shared" si="7"/>
        <v/>
      </c>
      <c r="N452" t="str">
        <f>IF(OR(C452="",D452=""),"",IFERROR(IF(_xludf.XLOOKUP(C452,'Master Calendar'!$A$2:$A$6,'Master Calendar'!$C$2:$C$6)=D452,"YES","NO"),"NO"))</f>
        <v/>
      </c>
    </row>
    <row r="453" spans="12:14" x14ac:dyDescent="0.25">
      <c r="L453" t="str">
        <f t="shared" si="7"/>
        <v/>
      </c>
      <c r="N453" t="str">
        <f>IF(OR(C453="",D453=""),"",IFERROR(IF(_xludf.XLOOKUP(C453,'Master Calendar'!$A$2:$A$6,'Master Calendar'!$C$2:$C$6)=D453,"YES","NO"),"NO"))</f>
        <v/>
      </c>
    </row>
    <row r="454" spans="12:14" x14ac:dyDescent="0.25">
      <c r="L454" t="str">
        <f t="shared" si="7"/>
        <v/>
      </c>
      <c r="N454" t="str">
        <f>IF(OR(C454="",D454=""),"",IFERROR(IF(_xludf.XLOOKUP(C454,'Master Calendar'!$A$2:$A$6,'Master Calendar'!$C$2:$C$6)=D454,"YES","NO"),"NO"))</f>
        <v/>
      </c>
    </row>
    <row r="455" spans="12:14" x14ac:dyDescent="0.25">
      <c r="L455" t="str">
        <f t="shared" si="7"/>
        <v/>
      </c>
      <c r="N455" t="str">
        <f>IF(OR(C455="",D455=""),"",IFERROR(IF(_xludf.XLOOKUP(C455,'Master Calendar'!$A$2:$A$6,'Master Calendar'!$C$2:$C$6)=D455,"YES","NO"),"NO"))</f>
        <v/>
      </c>
    </row>
    <row r="456" spans="12:14" x14ac:dyDescent="0.25">
      <c r="L456" t="str">
        <f t="shared" si="7"/>
        <v/>
      </c>
      <c r="N456" t="str">
        <f>IF(OR(C456="",D456=""),"",IFERROR(IF(_xludf.XLOOKUP(C456,'Master Calendar'!$A$2:$A$6,'Master Calendar'!$C$2:$C$6)=D456,"YES","NO"),"NO"))</f>
        <v/>
      </c>
    </row>
    <row r="457" spans="12:14" x14ac:dyDescent="0.25">
      <c r="L457" t="str">
        <f t="shared" si="7"/>
        <v/>
      </c>
      <c r="N457" t="str">
        <f>IF(OR(C457="",D457=""),"",IFERROR(IF(_xludf.XLOOKUP(C457,'Master Calendar'!$A$2:$A$6,'Master Calendar'!$C$2:$C$6)=D457,"YES","NO"),"NO"))</f>
        <v/>
      </c>
    </row>
    <row r="458" spans="12:14" x14ac:dyDescent="0.25">
      <c r="L458" t="str">
        <f t="shared" si="7"/>
        <v/>
      </c>
      <c r="N458" t="str">
        <f>IF(OR(C458="",D458=""),"",IFERROR(IF(_xludf.XLOOKUP(C458,'Master Calendar'!$A$2:$A$6,'Master Calendar'!$C$2:$C$6)=D458,"YES","NO"),"NO"))</f>
        <v/>
      </c>
    </row>
    <row r="459" spans="12:14" x14ac:dyDescent="0.25">
      <c r="L459" t="str">
        <f t="shared" si="7"/>
        <v/>
      </c>
      <c r="N459" t="str">
        <f>IF(OR(C459="",D459=""),"",IFERROR(IF(_xludf.XLOOKUP(C459,'Master Calendar'!$A$2:$A$6,'Master Calendar'!$C$2:$C$6)=D459,"YES","NO"),"NO"))</f>
        <v/>
      </c>
    </row>
    <row r="460" spans="12:14" x14ac:dyDescent="0.25">
      <c r="L460" t="str">
        <f t="shared" si="7"/>
        <v/>
      </c>
      <c r="N460" t="str">
        <f>IF(OR(C460="",D460=""),"",IFERROR(IF(_xludf.XLOOKUP(C460,'Master Calendar'!$A$2:$A$6,'Master Calendar'!$C$2:$C$6)=D460,"YES","NO"),"NO"))</f>
        <v/>
      </c>
    </row>
    <row r="461" spans="12:14" x14ac:dyDescent="0.25">
      <c r="L461" t="str">
        <f t="shared" si="7"/>
        <v/>
      </c>
      <c r="N461" t="str">
        <f>IF(OR(C461="",D461=""),"",IFERROR(IF(_xludf.XLOOKUP(C461,'Master Calendar'!$A$2:$A$6,'Master Calendar'!$C$2:$C$6)=D461,"YES","NO"),"NO"))</f>
        <v/>
      </c>
    </row>
    <row r="462" spans="12:14" x14ac:dyDescent="0.25">
      <c r="L462" t="str">
        <f t="shared" si="7"/>
        <v/>
      </c>
      <c r="N462" t="str">
        <f>IF(OR(C462="",D462=""),"",IFERROR(IF(_xludf.XLOOKUP(C462,'Master Calendar'!$A$2:$A$6,'Master Calendar'!$C$2:$C$6)=D462,"YES","NO"),"NO"))</f>
        <v/>
      </c>
    </row>
    <row r="463" spans="12:14" x14ac:dyDescent="0.25">
      <c r="L463" t="str">
        <f t="shared" si="7"/>
        <v/>
      </c>
      <c r="N463" t="str">
        <f>IF(OR(C463="",D463=""),"",IFERROR(IF(_xludf.XLOOKUP(C463,'Master Calendar'!$A$2:$A$6,'Master Calendar'!$C$2:$C$6)=D463,"YES","NO"),"NO"))</f>
        <v/>
      </c>
    </row>
    <row r="464" spans="12:14" x14ac:dyDescent="0.25">
      <c r="L464" t="str">
        <f t="shared" si="7"/>
        <v/>
      </c>
      <c r="N464" t="str">
        <f>IF(OR(C464="",D464=""),"",IFERROR(IF(_xludf.XLOOKUP(C464,'Master Calendar'!$A$2:$A$6,'Master Calendar'!$C$2:$C$6)=D464,"YES","NO"),"NO"))</f>
        <v/>
      </c>
    </row>
    <row r="465" spans="12:14" x14ac:dyDescent="0.25">
      <c r="L465" t="str">
        <f t="shared" si="7"/>
        <v/>
      </c>
      <c r="N465" t="str">
        <f>IF(OR(C465="",D465=""),"",IFERROR(IF(_xludf.XLOOKUP(C465,'Master Calendar'!$A$2:$A$6,'Master Calendar'!$C$2:$C$6)=D465,"YES","NO"),"NO"))</f>
        <v/>
      </c>
    </row>
    <row r="466" spans="12:14" x14ac:dyDescent="0.25">
      <c r="L466" t="str">
        <f t="shared" si="7"/>
        <v/>
      </c>
      <c r="N466" t="str">
        <f>IF(OR(C466="",D466=""),"",IFERROR(IF(_xludf.XLOOKUP(C466,'Master Calendar'!$A$2:$A$6,'Master Calendar'!$C$2:$C$6)=D466,"YES","NO"),"NO"))</f>
        <v/>
      </c>
    </row>
    <row r="467" spans="12:14" x14ac:dyDescent="0.25">
      <c r="L467" t="str">
        <f t="shared" si="7"/>
        <v/>
      </c>
      <c r="N467" t="str">
        <f>IF(OR(C467="",D467=""),"",IFERROR(IF(_xludf.XLOOKUP(C467,'Master Calendar'!$A$2:$A$6,'Master Calendar'!$C$2:$C$6)=D467,"YES","NO"),"NO"))</f>
        <v/>
      </c>
    </row>
    <row r="468" spans="12:14" x14ac:dyDescent="0.25">
      <c r="L468" t="str">
        <f t="shared" si="7"/>
        <v/>
      </c>
      <c r="N468" t="str">
        <f>IF(OR(C468="",D468=""),"",IFERROR(IF(_xludf.XLOOKUP(C468,'Master Calendar'!$A$2:$A$6,'Master Calendar'!$C$2:$C$6)=D468,"YES","NO"),"NO"))</f>
        <v/>
      </c>
    </row>
    <row r="469" spans="12:14" x14ac:dyDescent="0.25">
      <c r="L469" t="str">
        <f t="shared" si="7"/>
        <v/>
      </c>
      <c r="N469" t="str">
        <f>IF(OR(C469="",D469=""),"",IFERROR(IF(_xludf.XLOOKUP(C469,'Master Calendar'!$A$2:$A$6,'Master Calendar'!$C$2:$C$6)=D469,"YES","NO"),"NO"))</f>
        <v/>
      </c>
    </row>
    <row r="470" spans="12:14" x14ac:dyDescent="0.25">
      <c r="L470" t="str">
        <f t="shared" si="7"/>
        <v/>
      </c>
      <c r="N470" t="str">
        <f>IF(OR(C470="",D470=""),"",IFERROR(IF(_xludf.XLOOKUP(C470,'Master Calendar'!$A$2:$A$6,'Master Calendar'!$C$2:$C$6)=D470,"YES","NO"),"NO"))</f>
        <v/>
      </c>
    </row>
    <row r="471" spans="12:14" x14ac:dyDescent="0.25">
      <c r="L471" t="str">
        <f t="shared" si="7"/>
        <v/>
      </c>
      <c r="N471" t="str">
        <f>IF(OR(C471="",D471=""),"",IFERROR(IF(_xludf.XLOOKUP(C471,'Master Calendar'!$A$2:$A$6,'Master Calendar'!$C$2:$C$6)=D471,"YES","NO"),"NO"))</f>
        <v/>
      </c>
    </row>
    <row r="472" spans="12:14" x14ac:dyDescent="0.25">
      <c r="L472" t="str">
        <f t="shared" si="7"/>
        <v/>
      </c>
      <c r="N472" t="str">
        <f>IF(OR(C472="",D472=""),"",IFERROR(IF(_xludf.XLOOKUP(C472,'Master Calendar'!$A$2:$A$6,'Master Calendar'!$C$2:$C$6)=D472,"YES","NO"),"NO"))</f>
        <v/>
      </c>
    </row>
    <row r="473" spans="12:14" x14ac:dyDescent="0.25">
      <c r="L473" t="str">
        <f t="shared" si="7"/>
        <v/>
      </c>
      <c r="N473" t="str">
        <f>IF(OR(C473="",D473=""),"",IFERROR(IF(_xludf.XLOOKUP(C473,'Master Calendar'!$A$2:$A$6,'Master Calendar'!$C$2:$C$6)=D473,"YES","NO"),"NO"))</f>
        <v/>
      </c>
    </row>
    <row r="474" spans="12:14" x14ac:dyDescent="0.25">
      <c r="L474" t="str">
        <f t="shared" si="7"/>
        <v/>
      </c>
      <c r="N474" t="str">
        <f>IF(OR(C474="",D474=""),"",IFERROR(IF(_xludf.XLOOKUP(C474,'Master Calendar'!$A$2:$A$6,'Master Calendar'!$C$2:$C$6)=D474,"YES","NO"),"NO"))</f>
        <v/>
      </c>
    </row>
    <row r="475" spans="12:14" x14ac:dyDescent="0.25">
      <c r="L475" t="str">
        <f t="shared" si="7"/>
        <v/>
      </c>
      <c r="N475" t="str">
        <f>IF(OR(C475="",D475=""),"",IFERROR(IF(_xludf.XLOOKUP(C475,'Master Calendar'!$A$2:$A$6,'Master Calendar'!$C$2:$C$6)=D475,"YES","NO"),"NO"))</f>
        <v/>
      </c>
    </row>
    <row r="476" spans="12:14" x14ac:dyDescent="0.25">
      <c r="L476" t="str">
        <f t="shared" si="7"/>
        <v/>
      </c>
      <c r="N476" t="str">
        <f>IF(OR(C476="",D476=""),"",IFERROR(IF(_xludf.XLOOKUP(C476,'Master Calendar'!$A$2:$A$6,'Master Calendar'!$C$2:$C$6)=D476,"YES","NO"),"NO"))</f>
        <v/>
      </c>
    </row>
    <row r="477" spans="12:14" x14ac:dyDescent="0.25">
      <c r="L477" t="str">
        <f t="shared" si="7"/>
        <v/>
      </c>
      <c r="N477" t="str">
        <f>IF(OR(C477="",D477=""),"",IFERROR(IF(_xludf.XLOOKUP(C477,'Master Calendar'!$A$2:$A$6,'Master Calendar'!$C$2:$C$6)=D477,"YES","NO"),"NO"))</f>
        <v/>
      </c>
    </row>
    <row r="478" spans="12:14" x14ac:dyDescent="0.25">
      <c r="L478" t="str">
        <f t="shared" si="7"/>
        <v/>
      </c>
      <c r="N478" t="str">
        <f>IF(OR(C478="",D478=""),"",IFERROR(IF(_xludf.XLOOKUP(C478,'Master Calendar'!$A$2:$A$6,'Master Calendar'!$C$2:$C$6)=D478,"YES","NO"),"NO"))</f>
        <v/>
      </c>
    </row>
    <row r="479" spans="12:14" x14ac:dyDescent="0.25">
      <c r="L479" t="str">
        <f t="shared" si="7"/>
        <v/>
      </c>
      <c r="N479" t="str">
        <f>IF(OR(C479="",D479=""),"",IFERROR(IF(_xludf.XLOOKUP(C479,'Master Calendar'!$A$2:$A$6,'Master Calendar'!$C$2:$C$6)=D479,"YES","NO"),"NO"))</f>
        <v/>
      </c>
    </row>
    <row r="480" spans="12:14" x14ac:dyDescent="0.25">
      <c r="L480" t="str">
        <f t="shared" si="7"/>
        <v/>
      </c>
      <c r="N480" t="str">
        <f>IF(OR(C480="",D480=""),"",IFERROR(IF(_xludf.XLOOKUP(C480,'Master Calendar'!$A$2:$A$6,'Master Calendar'!$C$2:$C$6)=D480,"YES","NO"),"NO"))</f>
        <v/>
      </c>
    </row>
    <row r="481" spans="12:14" x14ac:dyDescent="0.25">
      <c r="L481" t="str">
        <f t="shared" si="7"/>
        <v/>
      </c>
      <c r="N481" t="str">
        <f>IF(OR(C481="",D481=""),"",IFERROR(IF(_xludf.XLOOKUP(C481,'Master Calendar'!$A$2:$A$6,'Master Calendar'!$C$2:$C$6)=D481,"YES","NO"),"NO"))</f>
        <v/>
      </c>
    </row>
    <row r="482" spans="12:14" x14ac:dyDescent="0.25">
      <c r="L482" t="str">
        <f t="shared" si="7"/>
        <v/>
      </c>
      <c r="N482" t="str">
        <f>IF(OR(C482="",D482=""),"",IFERROR(IF(_xludf.XLOOKUP(C482,'Master Calendar'!$A$2:$A$6,'Master Calendar'!$C$2:$C$6)=D482,"YES","NO"),"NO"))</f>
        <v/>
      </c>
    </row>
    <row r="483" spans="12:14" x14ac:dyDescent="0.25">
      <c r="L483" t="str">
        <f t="shared" si="7"/>
        <v/>
      </c>
      <c r="N483" t="str">
        <f>IF(OR(C483="",D483=""),"",IFERROR(IF(_xludf.XLOOKUP(C483,'Master Calendar'!$A$2:$A$6,'Master Calendar'!$C$2:$C$6)=D483,"YES","NO"),"NO"))</f>
        <v/>
      </c>
    </row>
    <row r="484" spans="12:14" x14ac:dyDescent="0.25">
      <c r="L484" t="str">
        <f t="shared" si="7"/>
        <v/>
      </c>
      <c r="N484" t="str">
        <f>IF(OR(C484="",D484=""),"",IFERROR(IF(_xludf.XLOOKUP(C484,'Master Calendar'!$A$2:$A$6,'Master Calendar'!$C$2:$C$6)=D484,"YES","NO"),"NO"))</f>
        <v/>
      </c>
    </row>
    <row r="485" spans="12:14" x14ac:dyDescent="0.25">
      <c r="L485" t="str">
        <f t="shared" si="7"/>
        <v/>
      </c>
      <c r="N485" t="str">
        <f>IF(OR(C485="",D485=""),"",IFERROR(IF(_xludf.XLOOKUP(C485,'Master Calendar'!$A$2:$A$6,'Master Calendar'!$C$2:$C$6)=D485,"YES","NO"),"NO"))</f>
        <v/>
      </c>
    </row>
    <row r="486" spans="12:14" x14ac:dyDescent="0.25">
      <c r="L486" t="str">
        <f t="shared" si="7"/>
        <v/>
      </c>
      <c r="N486" t="str">
        <f>IF(OR(C486="",D486=""),"",IFERROR(IF(_xludf.XLOOKUP(C486,'Master Calendar'!$A$2:$A$6,'Master Calendar'!$C$2:$C$6)=D486,"YES","NO"),"NO"))</f>
        <v/>
      </c>
    </row>
    <row r="487" spans="12:14" x14ac:dyDescent="0.25">
      <c r="L487" t="str">
        <f t="shared" si="7"/>
        <v/>
      </c>
      <c r="N487" t="str">
        <f>IF(OR(C487="",D487=""),"",IFERROR(IF(_xludf.XLOOKUP(C487,'Master Calendar'!$A$2:$A$6,'Master Calendar'!$C$2:$C$6)=D487,"YES","NO"),"NO"))</f>
        <v/>
      </c>
    </row>
    <row r="488" spans="12:14" x14ac:dyDescent="0.25">
      <c r="L488" t="str">
        <f t="shared" si="7"/>
        <v/>
      </c>
      <c r="N488" t="str">
        <f>IF(OR(C488="",D488=""),"",IFERROR(IF(_xludf.XLOOKUP(C488,'Master Calendar'!$A$2:$A$6,'Master Calendar'!$C$2:$C$6)=D488,"YES","NO"),"NO"))</f>
        <v/>
      </c>
    </row>
    <row r="489" spans="12:14" x14ac:dyDescent="0.25">
      <c r="L489" t="str">
        <f t="shared" si="7"/>
        <v/>
      </c>
      <c r="N489" t="str">
        <f>IF(OR(C489="",D489=""),"",IFERROR(IF(_xludf.XLOOKUP(C489,'Master Calendar'!$A$2:$A$6,'Master Calendar'!$C$2:$C$6)=D489,"YES","NO"),"NO"))</f>
        <v/>
      </c>
    </row>
    <row r="490" spans="12:14" x14ac:dyDescent="0.25">
      <c r="L490" t="str">
        <f t="shared" si="7"/>
        <v/>
      </c>
      <c r="N490" t="str">
        <f>IF(OR(C490="",D490=""),"",IFERROR(IF(_xludf.XLOOKUP(C490,'Master Calendar'!$A$2:$A$6,'Master Calendar'!$C$2:$C$6)=D490,"YES","NO"),"NO"))</f>
        <v/>
      </c>
    </row>
    <row r="491" spans="12:14" x14ac:dyDescent="0.25">
      <c r="L491" t="str">
        <f t="shared" si="7"/>
        <v/>
      </c>
      <c r="N491" t="str">
        <f>IF(OR(C491="",D491=""),"",IFERROR(IF(_xludf.XLOOKUP(C491,'Master Calendar'!$A$2:$A$6,'Master Calendar'!$C$2:$C$6)=D491,"YES","NO"),"NO"))</f>
        <v/>
      </c>
    </row>
    <row r="492" spans="12:14" x14ac:dyDescent="0.25">
      <c r="L492" t="str">
        <f t="shared" si="7"/>
        <v/>
      </c>
      <c r="N492" t="str">
        <f>IF(OR(C492="",D492=""),"",IFERROR(IF(_xludf.XLOOKUP(C492,'Master Calendar'!$A$2:$A$6,'Master Calendar'!$C$2:$C$6)=D492,"YES","NO"),"NO"))</f>
        <v/>
      </c>
    </row>
    <row r="493" spans="12:14" x14ac:dyDescent="0.25">
      <c r="L493" t="str">
        <f t="shared" si="7"/>
        <v/>
      </c>
      <c r="N493" t="str">
        <f>IF(OR(C493="",D493=""),"",IFERROR(IF(_xludf.XLOOKUP(C493,'Master Calendar'!$A$2:$A$6,'Master Calendar'!$C$2:$C$6)=D493,"YES","NO"),"NO"))</f>
        <v/>
      </c>
    </row>
    <row r="494" spans="12:14" x14ac:dyDescent="0.25">
      <c r="L494" t="str">
        <f t="shared" si="7"/>
        <v/>
      </c>
      <c r="N494" t="str">
        <f>IF(OR(C494="",D494=""),"",IFERROR(IF(_xludf.XLOOKUP(C494,'Master Calendar'!$A$2:$A$6,'Master Calendar'!$C$2:$C$6)=D494,"YES","NO"),"NO"))</f>
        <v/>
      </c>
    </row>
    <row r="495" spans="12:14" x14ac:dyDescent="0.25">
      <c r="L495" t="str">
        <f t="shared" si="7"/>
        <v/>
      </c>
      <c r="N495" t="str">
        <f>IF(OR(C495="",D495=""),"",IFERROR(IF(_xludf.XLOOKUP(C495,'Master Calendar'!$A$2:$A$6,'Master Calendar'!$C$2:$C$6)=D495,"YES","NO"),"NO"))</f>
        <v/>
      </c>
    </row>
    <row r="496" spans="12:14" x14ac:dyDescent="0.25">
      <c r="L496" t="str">
        <f t="shared" si="7"/>
        <v/>
      </c>
      <c r="N496" t="str">
        <f>IF(OR(C496="",D496=""),"",IFERROR(IF(_xludf.XLOOKUP(C496,'Master Calendar'!$A$2:$A$6,'Master Calendar'!$C$2:$C$6)=D496,"YES","NO"),"NO"))</f>
        <v/>
      </c>
    </row>
    <row r="497" spans="12:14" x14ac:dyDescent="0.25">
      <c r="L497" t="str">
        <f t="shared" si="7"/>
        <v/>
      </c>
      <c r="N497" t="str">
        <f>IF(OR(C497="",D497=""),"",IFERROR(IF(_xludf.XLOOKUP(C497,'Master Calendar'!$A$2:$A$6,'Master Calendar'!$C$2:$C$6)=D497,"YES","NO"),"NO"))</f>
        <v/>
      </c>
    </row>
    <row r="498" spans="12:14" x14ac:dyDescent="0.25">
      <c r="L498" t="str">
        <f t="shared" si="7"/>
        <v/>
      </c>
      <c r="N498" t="str">
        <f>IF(OR(C498="",D498=""),"",IFERROR(IF(_xludf.XLOOKUP(C498,'Master Calendar'!$A$2:$A$6,'Master Calendar'!$C$2:$C$6)=D498,"YES","NO"),"NO"))</f>
        <v/>
      </c>
    </row>
    <row r="499" spans="12:14" x14ac:dyDescent="0.25">
      <c r="L499" t="str">
        <f t="shared" si="7"/>
        <v/>
      </c>
      <c r="N499" t="str">
        <f>IF(OR(C499="",D499=""),"",IFERROR(IF(_xludf.XLOOKUP(C499,'Master Calendar'!$A$2:$A$6,'Master Calendar'!$C$2:$C$6)=D499,"YES","NO"),"NO"))</f>
        <v/>
      </c>
    </row>
    <row r="500" spans="12:14" x14ac:dyDescent="0.25">
      <c r="L500" t="str">
        <f t="shared" si="7"/>
        <v/>
      </c>
      <c r="N500" t="str">
        <f>IF(OR(C500="",D500=""),"",IFERROR(IF(_xludf.XLOOKUP(C500,'Master Calendar'!$A$2:$A$6,'Master Calendar'!$C$2:$C$6)=D500,"YES","NO"),"NO"))</f>
        <v/>
      </c>
    </row>
    <row r="501" spans="12:14" x14ac:dyDescent="0.25">
      <c r="L501" t="str">
        <f t="shared" si="7"/>
        <v/>
      </c>
      <c r="N501" t="str">
        <f>IF(OR(C501="",D501=""),"",IFERROR(IF(_xludf.XLOOKUP(C501,'Master Calendar'!$A$2:$A$6,'Master Calendar'!$C$2:$C$6)=D501,"YES","NO"),"NO"))</f>
        <v/>
      </c>
    </row>
    <row r="502" spans="12:14" x14ac:dyDescent="0.25">
      <c r="L502" t="str">
        <f t="shared" si="7"/>
        <v/>
      </c>
      <c r="N502" t="str">
        <f>IF(OR(C502="",D502=""),"",IFERROR(IF(_xludf.XLOOKUP(C502,'Master Calendar'!$A$2:$A$6,'Master Calendar'!$C$2:$C$6)=D502,"YES","NO"),"NO"))</f>
        <v/>
      </c>
    </row>
    <row r="503" spans="12:14" x14ac:dyDescent="0.25">
      <c r="L503" t="str">
        <f t="shared" si="7"/>
        <v/>
      </c>
      <c r="N503" t="str">
        <f>IF(OR(C503="",D503=""),"",IFERROR(IF(_xludf.XLOOKUP(C503,'Master Calendar'!$A$2:$A$6,'Master Calendar'!$C$2:$C$6)=D503,"YES","NO"),"NO"))</f>
        <v/>
      </c>
    </row>
    <row r="504" spans="12:14" x14ac:dyDescent="0.25">
      <c r="L504" t="str">
        <f t="shared" si="7"/>
        <v/>
      </c>
      <c r="N504" t="str">
        <f>IF(OR(C504="",D504=""),"",IFERROR(IF(_xludf.XLOOKUP(C504,'Master Calendar'!$A$2:$A$6,'Master Calendar'!$C$2:$C$6)=D504,"YES","NO"),"NO"))</f>
        <v/>
      </c>
    </row>
    <row r="505" spans="12:14" x14ac:dyDescent="0.25">
      <c r="L505" t="str">
        <f t="shared" si="7"/>
        <v/>
      </c>
      <c r="N505" t="str">
        <f>IF(OR(C505="",D505=""),"",IFERROR(IF(_xludf.XLOOKUP(C505,'Master Calendar'!$A$2:$A$6,'Master Calendar'!$C$2:$C$6)=D505,"YES","NO"),"NO"))</f>
        <v/>
      </c>
    </row>
    <row r="506" spans="12:14" x14ac:dyDescent="0.25">
      <c r="L506" t="str">
        <f t="shared" si="7"/>
        <v/>
      </c>
      <c r="N506" t="str">
        <f>IF(OR(C506="",D506=""),"",IFERROR(IF(_xludf.XLOOKUP(C506,'Master Calendar'!$A$2:$A$6,'Master Calendar'!$C$2:$C$6)=D506,"YES","NO"),"NO"))</f>
        <v/>
      </c>
    </row>
    <row r="507" spans="12:14" x14ac:dyDescent="0.25">
      <c r="L507" t="str">
        <f t="shared" si="7"/>
        <v/>
      </c>
      <c r="N507" t="str">
        <f>IF(OR(C507="",D507=""),"",IFERROR(IF(_xludf.XLOOKUP(C507,'Master Calendar'!$A$2:$A$6,'Master Calendar'!$C$2:$C$6)=D507,"YES","NO"),"NO"))</f>
        <v/>
      </c>
    </row>
    <row r="508" spans="12:14" x14ac:dyDescent="0.25">
      <c r="L508" t="str">
        <f t="shared" si="7"/>
        <v/>
      </c>
      <c r="N508" t="str">
        <f>IF(OR(C508="",D508=""),"",IFERROR(IF(_xludf.XLOOKUP(C508,'Master Calendar'!$A$2:$A$6,'Master Calendar'!$C$2:$C$6)=D508,"YES","NO"),"NO"))</f>
        <v/>
      </c>
    </row>
    <row r="509" spans="12:14" x14ac:dyDescent="0.25">
      <c r="L509" t="str">
        <f t="shared" si="7"/>
        <v/>
      </c>
      <c r="N509" t="str">
        <f>IF(OR(C509="",D509=""),"",IFERROR(IF(_xludf.XLOOKUP(C509,'Master Calendar'!$A$2:$A$6,'Master Calendar'!$C$2:$C$6)=D509,"YES","NO"),"NO"))</f>
        <v/>
      </c>
    </row>
    <row r="510" spans="12:14" x14ac:dyDescent="0.25">
      <c r="L510" t="str">
        <f t="shared" si="7"/>
        <v/>
      </c>
      <c r="N510" t="str">
        <f>IF(OR(C510="",D510=""),"",IFERROR(IF(_xludf.XLOOKUP(C510,'Master Calendar'!$A$2:$A$6,'Master Calendar'!$C$2:$C$6)=D510,"YES","NO"),"NO"))</f>
        <v/>
      </c>
    </row>
    <row r="511" spans="12:14" x14ac:dyDescent="0.25">
      <c r="L511" t="str">
        <f t="shared" si="7"/>
        <v/>
      </c>
      <c r="N511" t="str">
        <f>IF(OR(C511="",D511=""),"",IFERROR(IF(_xludf.XLOOKUP(C511,'Master Calendar'!$A$2:$A$6,'Master Calendar'!$C$2:$C$6)=D511,"YES","NO"),"NO"))</f>
        <v/>
      </c>
    </row>
    <row r="512" spans="12:14" x14ac:dyDescent="0.25">
      <c r="L512" t="str">
        <f t="shared" si="7"/>
        <v/>
      </c>
      <c r="N512" t="str">
        <f>IF(OR(C512="",D512=""),"",IFERROR(IF(_xludf.XLOOKUP(C512,'Master Calendar'!$A$2:$A$6,'Master Calendar'!$C$2:$C$6)=D512,"YES","NO"),"NO"))</f>
        <v/>
      </c>
    </row>
    <row r="513" spans="12:14" x14ac:dyDescent="0.25">
      <c r="L513" t="str">
        <f t="shared" si="7"/>
        <v/>
      </c>
      <c r="N513" t="str">
        <f>IF(OR(C513="",D513=""),"",IFERROR(IF(_xludf.XLOOKUP(C513,'Master Calendar'!$A$2:$A$6,'Master Calendar'!$C$2:$C$6)=D513,"YES","NO"),"NO"))</f>
        <v/>
      </c>
    </row>
    <row r="514" spans="12:14" x14ac:dyDescent="0.25">
      <c r="L514" t="str">
        <f t="shared" ref="L514:L577" si="8">IF(OR(J514="",K514=""),"",K514*J514/100)</f>
        <v/>
      </c>
      <c r="N514" t="str">
        <f>IF(OR(C514="",D514=""),"",IFERROR(IF(_xludf.XLOOKUP(C514,'Master Calendar'!$A$2:$A$6,'Master Calendar'!$C$2:$C$6)=D514,"YES","NO"),"NO"))</f>
        <v/>
      </c>
    </row>
    <row r="515" spans="12:14" x14ac:dyDescent="0.25">
      <c r="L515" t="str">
        <f t="shared" si="8"/>
        <v/>
      </c>
      <c r="N515" t="str">
        <f>IF(OR(C515="",D515=""),"",IFERROR(IF(_xludf.XLOOKUP(C515,'Master Calendar'!$A$2:$A$6,'Master Calendar'!$C$2:$C$6)=D515,"YES","NO"),"NO"))</f>
        <v/>
      </c>
    </row>
    <row r="516" spans="12:14" x14ac:dyDescent="0.25">
      <c r="L516" t="str">
        <f t="shared" si="8"/>
        <v/>
      </c>
      <c r="N516" t="str">
        <f>IF(OR(C516="",D516=""),"",IFERROR(IF(_xludf.XLOOKUP(C516,'Master Calendar'!$A$2:$A$6,'Master Calendar'!$C$2:$C$6)=D516,"YES","NO"),"NO"))</f>
        <v/>
      </c>
    </row>
    <row r="517" spans="12:14" x14ac:dyDescent="0.25">
      <c r="L517" t="str">
        <f t="shared" si="8"/>
        <v/>
      </c>
      <c r="N517" t="str">
        <f>IF(OR(C517="",D517=""),"",IFERROR(IF(_xludf.XLOOKUP(C517,'Master Calendar'!$A$2:$A$6,'Master Calendar'!$C$2:$C$6)=D517,"YES","NO"),"NO"))</f>
        <v/>
      </c>
    </row>
    <row r="518" spans="12:14" x14ac:dyDescent="0.25">
      <c r="L518" t="str">
        <f t="shared" si="8"/>
        <v/>
      </c>
      <c r="N518" t="str">
        <f>IF(OR(C518="",D518=""),"",IFERROR(IF(_xludf.XLOOKUP(C518,'Master Calendar'!$A$2:$A$6,'Master Calendar'!$C$2:$C$6)=D518,"YES","NO"),"NO"))</f>
        <v/>
      </c>
    </row>
    <row r="519" spans="12:14" x14ac:dyDescent="0.25">
      <c r="L519" t="str">
        <f t="shared" si="8"/>
        <v/>
      </c>
      <c r="N519" t="str">
        <f>IF(OR(C519="",D519=""),"",IFERROR(IF(_xludf.XLOOKUP(C519,'Master Calendar'!$A$2:$A$6,'Master Calendar'!$C$2:$C$6)=D519,"YES","NO"),"NO"))</f>
        <v/>
      </c>
    </row>
    <row r="520" spans="12:14" x14ac:dyDescent="0.25">
      <c r="L520" t="str">
        <f t="shared" si="8"/>
        <v/>
      </c>
      <c r="N520" t="str">
        <f>IF(OR(C520="",D520=""),"",IFERROR(IF(_xludf.XLOOKUP(C520,'Master Calendar'!$A$2:$A$6,'Master Calendar'!$C$2:$C$6)=D520,"YES","NO"),"NO"))</f>
        <v/>
      </c>
    </row>
    <row r="521" spans="12:14" x14ac:dyDescent="0.25">
      <c r="L521" t="str">
        <f t="shared" si="8"/>
        <v/>
      </c>
      <c r="N521" t="str">
        <f>IF(OR(C521="",D521=""),"",IFERROR(IF(_xludf.XLOOKUP(C521,'Master Calendar'!$A$2:$A$6,'Master Calendar'!$C$2:$C$6)=D521,"YES","NO"),"NO"))</f>
        <v/>
      </c>
    </row>
    <row r="522" spans="12:14" x14ac:dyDescent="0.25">
      <c r="L522" t="str">
        <f t="shared" si="8"/>
        <v/>
      </c>
      <c r="N522" t="str">
        <f>IF(OR(C522="",D522=""),"",IFERROR(IF(_xludf.XLOOKUP(C522,'Master Calendar'!$A$2:$A$6,'Master Calendar'!$C$2:$C$6)=D522,"YES","NO"),"NO"))</f>
        <v/>
      </c>
    </row>
    <row r="523" spans="12:14" x14ac:dyDescent="0.25">
      <c r="L523" t="str">
        <f t="shared" si="8"/>
        <v/>
      </c>
      <c r="N523" t="str">
        <f>IF(OR(C523="",D523=""),"",IFERROR(IF(_xludf.XLOOKUP(C523,'Master Calendar'!$A$2:$A$6,'Master Calendar'!$C$2:$C$6)=D523,"YES","NO"),"NO"))</f>
        <v/>
      </c>
    </row>
    <row r="524" spans="12:14" x14ac:dyDescent="0.25">
      <c r="L524" t="str">
        <f t="shared" si="8"/>
        <v/>
      </c>
      <c r="N524" t="str">
        <f>IF(OR(C524="",D524=""),"",IFERROR(IF(_xludf.XLOOKUP(C524,'Master Calendar'!$A$2:$A$6,'Master Calendar'!$C$2:$C$6)=D524,"YES","NO"),"NO"))</f>
        <v/>
      </c>
    </row>
    <row r="525" spans="12:14" x14ac:dyDescent="0.25">
      <c r="L525" t="str">
        <f t="shared" si="8"/>
        <v/>
      </c>
      <c r="N525" t="str">
        <f>IF(OR(C525="",D525=""),"",IFERROR(IF(_xludf.XLOOKUP(C525,'Master Calendar'!$A$2:$A$6,'Master Calendar'!$C$2:$C$6)=D525,"YES","NO"),"NO"))</f>
        <v/>
      </c>
    </row>
    <row r="526" spans="12:14" x14ac:dyDescent="0.25">
      <c r="L526" t="str">
        <f t="shared" si="8"/>
        <v/>
      </c>
      <c r="N526" t="str">
        <f>IF(OR(C526="",D526=""),"",IFERROR(IF(_xludf.XLOOKUP(C526,'Master Calendar'!$A$2:$A$6,'Master Calendar'!$C$2:$C$6)=D526,"YES","NO"),"NO"))</f>
        <v/>
      </c>
    </row>
    <row r="527" spans="12:14" x14ac:dyDescent="0.25">
      <c r="L527" t="str">
        <f t="shared" si="8"/>
        <v/>
      </c>
      <c r="N527" t="str">
        <f>IF(OR(C527="",D527=""),"",IFERROR(IF(_xludf.XLOOKUP(C527,'Master Calendar'!$A$2:$A$6,'Master Calendar'!$C$2:$C$6)=D527,"YES","NO"),"NO"))</f>
        <v/>
      </c>
    </row>
    <row r="528" spans="12:14" x14ac:dyDescent="0.25">
      <c r="L528" t="str">
        <f t="shared" si="8"/>
        <v/>
      </c>
      <c r="N528" t="str">
        <f>IF(OR(C528="",D528=""),"",IFERROR(IF(_xludf.XLOOKUP(C528,'Master Calendar'!$A$2:$A$6,'Master Calendar'!$C$2:$C$6)=D528,"YES","NO"),"NO"))</f>
        <v/>
      </c>
    </row>
    <row r="529" spans="12:14" x14ac:dyDescent="0.25">
      <c r="L529" t="str">
        <f t="shared" si="8"/>
        <v/>
      </c>
      <c r="N529" t="str">
        <f>IF(OR(C529="",D529=""),"",IFERROR(IF(_xludf.XLOOKUP(C529,'Master Calendar'!$A$2:$A$6,'Master Calendar'!$C$2:$C$6)=D529,"YES","NO"),"NO"))</f>
        <v/>
      </c>
    </row>
    <row r="530" spans="12:14" x14ac:dyDescent="0.25">
      <c r="L530" t="str">
        <f t="shared" si="8"/>
        <v/>
      </c>
      <c r="N530" t="str">
        <f>IF(OR(C530="",D530=""),"",IFERROR(IF(_xludf.XLOOKUP(C530,'Master Calendar'!$A$2:$A$6,'Master Calendar'!$C$2:$C$6)=D530,"YES","NO"),"NO"))</f>
        <v/>
      </c>
    </row>
    <row r="531" spans="12:14" x14ac:dyDescent="0.25">
      <c r="L531" t="str">
        <f t="shared" si="8"/>
        <v/>
      </c>
      <c r="N531" t="str">
        <f>IF(OR(C531="",D531=""),"",IFERROR(IF(_xludf.XLOOKUP(C531,'Master Calendar'!$A$2:$A$6,'Master Calendar'!$C$2:$C$6)=D531,"YES","NO"),"NO"))</f>
        <v/>
      </c>
    </row>
    <row r="532" spans="12:14" x14ac:dyDescent="0.25">
      <c r="L532" t="str">
        <f t="shared" si="8"/>
        <v/>
      </c>
      <c r="N532" t="str">
        <f>IF(OR(C532="",D532=""),"",IFERROR(IF(_xludf.XLOOKUP(C532,'Master Calendar'!$A$2:$A$6,'Master Calendar'!$C$2:$C$6)=D532,"YES","NO"),"NO"))</f>
        <v/>
      </c>
    </row>
    <row r="533" spans="12:14" x14ac:dyDescent="0.25">
      <c r="L533" t="str">
        <f t="shared" si="8"/>
        <v/>
      </c>
      <c r="N533" t="str">
        <f>IF(OR(C533="",D533=""),"",IFERROR(IF(_xludf.XLOOKUP(C533,'Master Calendar'!$A$2:$A$6,'Master Calendar'!$C$2:$C$6)=D533,"YES","NO"),"NO"))</f>
        <v/>
      </c>
    </row>
    <row r="534" spans="12:14" x14ac:dyDescent="0.25">
      <c r="L534" t="str">
        <f t="shared" si="8"/>
        <v/>
      </c>
      <c r="N534" t="str">
        <f>IF(OR(C534="",D534=""),"",IFERROR(IF(_xludf.XLOOKUP(C534,'Master Calendar'!$A$2:$A$6,'Master Calendar'!$C$2:$C$6)=D534,"YES","NO"),"NO"))</f>
        <v/>
      </c>
    </row>
    <row r="535" spans="12:14" x14ac:dyDescent="0.25">
      <c r="L535" t="str">
        <f t="shared" si="8"/>
        <v/>
      </c>
      <c r="N535" t="str">
        <f>IF(OR(C535="",D535=""),"",IFERROR(IF(_xludf.XLOOKUP(C535,'Master Calendar'!$A$2:$A$6,'Master Calendar'!$C$2:$C$6)=D535,"YES","NO"),"NO"))</f>
        <v/>
      </c>
    </row>
    <row r="536" spans="12:14" x14ac:dyDescent="0.25">
      <c r="L536" t="str">
        <f t="shared" si="8"/>
        <v/>
      </c>
      <c r="N536" t="str">
        <f>IF(OR(C536="",D536=""),"",IFERROR(IF(_xludf.XLOOKUP(C536,'Master Calendar'!$A$2:$A$6,'Master Calendar'!$C$2:$C$6)=D536,"YES","NO"),"NO"))</f>
        <v/>
      </c>
    </row>
    <row r="537" spans="12:14" x14ac:dyDescent="0.25">
      <c r="L537" t="str">
        <f t="shared" si="8"/>
        <v/>
      </c>
      <c r="N537" t="str">
        <f>IF(OR(C537="",D537=""),"",IFERROR(IF(_xludf.XLOOKUP(C537,'Master Calendar'!$A$2:$A$6,'Master Calendar'!$C$2:$C$6)=D537,"YES","NO"),"NO"))</f>
        <v/>
      </c>
    </row>
    <row r="538" spans="12:14" x14ac:dyDescent="0.25">
      <c r="L538" t="str">
        <f t="shared" si="8"/>
        <v/>
      </c>
      <c r="N538" t="str">
        <f>IF(OR(C538="",D538=""),"",IFERROR(IF(_xludf.XLOOKUP(C538,'Master Calendar'!$A$2:$A$6,'Master Calendar'!$C$2:$C$6)=D538,"YES","NO"),"NO"))</f>
        <v/>
      </c>
    </row>
    <row r="539" spans="12:14" x14ac:dyDescent="0.25">
      <c r="L539" t="str">
        <f t="shared" si="8"/>
        <v/>
      </c>
      <c r="N539" t="str">
        <f>IF(OR(C539="",D539=""),"",IFERROR(IF(_xludf.XLOOKUP(C539,'Master Calendar'!$A$2:$A$6,'Master Calendar'!$C$2:$C$6)=D539,"YES","NO"),"NO"))</f>
        <v/>
      </c>
    </row>
    <row r="540" spans="12:14" x14ac:dyDescent="0.25">
      <c r="L540" t="str">
        <f t="shared" si="8"/>
        <v/>
      </c>
      <c r="N540" t="str">
        <f>IF(OR(C540="",D540=""),"",IFERROR(IF(_xludf.XLOOKUP(C540,'Master Calendar'!$A$2:$A$6,'Master Calendar'!$C$2:$C$6)=D540,"YES","NO"),"NO"))</f>
        <v/>
      </c>
    </row>
    <row r="541" spans="12:14" x14ac:dyDescent="0.25">
      <c r="L541" t="str">
        <f t="shared" si="8"/>
        <v/>
      </c>
      <c r="N541" t="str">
        <f>IF(OR(C541="",D541=""),"",IFERROR(IF(_xludf.XLOOKUP(C541,'Master Calendar'!$A$2:$A$6,'Master Calendar'!$C$2:$C$6)=D541,"YES","NO"),"NO"))</f>
        <v/>
      </c>
    </row>
    <row r="542" spans="12:14" x14ac:dyDescent="0.25">
      <c r="L542" t="str">
        <f t="shared" si="8"/>
        <v/>
      </c>
      <c r="N542" t="str">
        <f>IF(OR(C542="",D542=""),"",IFERROR(IF(_xludf.XLOOKUP(C542,'Master Calendar'!$A$2:$A$6,'Master Calendar'!$C$2:$C$6)=D542,"YES","NO"),"NO"))</f>
        <v/>
      </c>
    </row>
    <row r="543" spans="12:14" x14ac:dyDescent="0.25">
      <c r="L543" t="str">
        <f t="shared" si="8"/>
        <v/>
      </c>
      <c r="N543" t="str">
        <f>IF(OR(C543="",D543=""),"",IFERROR(IF(_xludf.XLOOKUP(C543,'Master Calendar'!$A$2:$A$6,'Master Calendar'!$C$2:$C$6)=D543,"YES","NO"),"NO"))</f>
        <v/>
      </c>
    </row>
    <row r="544" spans="12:14" x14ac:dyDescent="0.25">
      <c r="L544" t="str">
        <f t="shared" si="8"/>
        <v/>
      </c>
      <c r="N544" t="str">
        <f>IF(OR(C544="",D544=""),"",IFERROR(IF(_xludf.XLOOKUP(C544,'Master Calendar'!$A$2:$A$6,'Master Calendar'!$C$2:$C$6)=D544,"YES","NO"),"NO"))</f>
        <v/>
      </c>
    </row>
    <row r="545" spans="12:14" x14ac:dyDescent="0.25">
      <c r="L545" t="str">
        <f t="shared" si="8"/>
        <v/>
      </c>
      <c r="N545" t="str">
        <f>IF(OR(C545="",D545=""),"",IFERROR(IF(_xludf.XLOOKUP(C545,'Master Calendar'!$A$2:$A$6,'Master Calendar'!$C$2:$C$6)=D545,"YES","NO"),"NO"))</f>
        <v/>
      </c>
    </row>
    <row r="546" spans="12:14" x14ac:dyDescent="0.25">
      <c r="L546" t="str">
        <f t="shared" si="8"/>
        <v/>
      </c>
      <c r="N546" t="str">
        <f>IF(OR(C546="",D546=""),"",IFERROR(IF(_xludf.XLOOKUP(C546,'Master Calendar'!$A$2:$A$6,'Master Calendar'!$C$2:$C$6)=D546,"YES","NO"),"NO"))</f>
        <v/>
      </c>
    </row>
    <row r="547" spans="12:14" x14ac:dyDescent="0.25">
      <c r="L547" t="str">
        <f t="shared" si="8"/>
        <v/>
      </c>
      <c r="N547" t="str">
        <f>IF(OR(C547="",D547=""),"",IFERROR(IF(_xludf.XLOOKUP(C547,'Master Calendar'!$A$2:$A$6,'Master Calendar'!$C$2:$C$6)=D547,"YES","NO"),"NO"))</f>
        <v/>
      </c>
    </row>
    <row r="548" spans="12:14" x14ac:dyDescent="0.25">
      <c r="L548" t="str">
        <f t="shared" si="8"/>
        <v/>
      </c>
      <c r="N548" t="str">
        <f>IF(OR(C548="",D548=""),"",IFERROR(IF(_xludf.XLOOKUP(C548,'Master Calendar'!$A$2:$A$6,'Master Calendar'!$C$2:$C$6)=D548,"YES","NO"),"NO"))</f>
        <v/>
      </c>
    </row>
    <row r="549" spans="12:14" x14ac:dyDescent="0.25">
      <c r="L549" t="str">
        <f t="shared" si="8"/>
        <v/>
      </c>
      <c r="N549" t="str">
        <f>IF(OR(C549="",D549=""),"",IFERROR(IF(_xludf.XLOOKUP(C549,'Master Calendar'!$A$2:$A$6,'Master Calendar'!$C$2:$C$6)=D549,"YES","NO"),"NO"))</f>
        <v/>
      </c>
    </row>
    <row r="550" spans="12:14" x14ac:dyDescent="0.25">
      <c r="L550" t="str">
        <f t="shared" si="8"/>
        <v/>
      </c>
      <c r="N550" t="str">
        <f>IF(OR(C550="",D550=""),"",IFERROR(IF(_xludf.XLOOKUP(C550,'Master Calendar'!$A$2:$A$6,'Master Calendar'!$C$2:$C$6)=D550,"YES","NO"),"NO"))</f>
        <v/>
      </c>
    </row>
    <row r="551" spans="12:14" x14ac:dyDescent="0.25">
      <c r="L551" t="str">
        <f t="shared" si="8"/>
        <v/>
      </c>
      <c r="N551" t="str">
        <f>IF(OR(C551="",D551=""),"",IFERROR(IF(_xludf.XLOOKUP(C551,'Master Calendar'!$A$2:$A$6,'Master Calendar'!$C$2:$C$6)=D551,"YES","NO"),"NO"))</f>
        <v/>
      </c>
    </row>
    <row r="552" spans="12:14" x14ac:dyDescent="0.25">
      <c r="L552" t="str">
        <f t="shared" si="8"/>
        <v/>
      </c>
      <c r="N552" t="str">
        <f>IF(OR(C552="",D552=""),"",IFERROR(IF(_xludf.XLOOKUP(C552,'Master Calendar'!$A$2:$A$6,'Master Calendar'!$C$2:$C$6)=D552,"YES","NO"),"NO"))</f>
        <v/>
      </c>
    </row>
    <row r="553" spans="12:14" x14ac:dyDescent="0.25">
      <c r="L553" t="str">
        <f t="shared" si="8"/>
        <v/>
      </c>
      <c r="N553" t="str">
        <f>IF(OR(C553="",D553=""),"",IFERROR(IF(_xludf.XLOOKUP(C553,'Master Calendar'!$A$2:$A$6,'Master Calendar'!$C$2:$C$6)=D553,"YES","NO"),"NO"))</f>
        <v/>
      </c>
    </row>
    <row r="554" spans="12:14" x14ac:dyDescent="0.25">
      <c r="L554" t="str">
        <f t="shared" si="8"/>
        <v/>
      </c>
      <c r="N554" t="str">
        <f>IF(OR(C554="",D554=""),"",IFERROR(IF(_xludf.XLOOKUP(C554,'Master Calendar'!$A$2:$A$6,'Master Calendar'!$C$2:$C$6)=D554,"YES","NO"),"NO"))</f>
        <v/>
      </c>
    </row>
    <row r="555" spans="12:14" x14ac:dyDescent="0.25">
      <c r="L555" t="str">
        <f t="shared" si="8"/>
        <v/>
      </c>
      <c r="N555" t="str">
        <f>IF(OR(C555="",D555=""),"",IFERROR(IF(_xludf.XLOOKUP(C555,'Master Calendar'!$A$2:$A$6,'Master Calendar'!$C$2:$C$6)=D555,"YES","NO"),"NO"))</f>
        <v/>
      </c>
    </row>
    <row r="556" spans="12:14" x14ac:dyDescent="0.25">
      <c r="L556" t="str">
        <f t="shared" si="8"/>
        <v/>
      </c>
      <c r="N556" t="str">
        <f>IF(OR(C556="",D556=""),"",IFERROR(IF(_xludf.XLOOKUP(C556,'Master Calendar'!$A$2:$A$6,'Master Calendar'!$C$2:$C$6)=D556,"YES","NO"),"NO"))</f>
        <v/>
      </c>
    </row>
    <row r="557" spans="12:14" x14ac:dyDescent="0.25">
      <c r="L557" t="str">
        <f t="shared" si="8"/>
        <v/>
      </c>
      <c r="N557" t="str">
        <f>IF(OR(C557="",D557=""),"",IFERROR(IF(_xludf.XLOOKUP(C557,'Master Calendar'!$A$2:$A$6,'Master Calendar'!$C$2:$C$6)=D557,"YES","NO"),"NO"))</f>
        <v/>
      </c>
    </row>
    <row r="558" spans="12:14" x14ac:dyDescent="0.25">
      <c r="L558" t="str">
        <f t="shared" si="8"/>
        <v/>
      </c>
      <c r="N558" t="str">
        <f>IF(OR(C558="",D558=""),"",IFERROR(IF(_xludf.XLOOKUP(C558,'Master Calendar'!$A$2:$A$6,'Master Calendar'!$C$2:$C$6)=D558,"YES","NO"),"NO"))</f>
        <v/>
      </c>
    </row>
    <row r="559" spans="12:14" x14ac:dyDescent="0.25">
      <c r="L559" t="str">
        <f t="shared" si="8"/>
        <v/>
      </c>
      <c r="N559" t="str">
        <f>IF(OR(C559="",D559=""),"",IFERROR(IF(_xludf.XLOOKUP(C559,'Master Calendar'!$A$2:$A$6,'Master Calendar'!$C$2:$C$6)=D559,"YES","NO"),"NO"))</f>
        <v/>
      </c>
    </row>
    <row r="560" spans="12:14" x14ac:dyDescent="0.25">
      <c r="L560" t="str">
        <f t="shared" si="8"/>
        <v/>
      </c>
      <c r="N560" t="str">
        <f>IF(OR(C560="",D560=""),"",IFERROR(IF(_xludf.XLOOKUP(C560,'Master Calendar'!$A$2:$A$6,'Master Calendar'!$C$2:$C$6)=D560,"YES","NO"),"NO"))</f>
        <v/>
      </c>
    </row>
    <row r="561" spans="12:14" x14ac:dyDescent="0.25">
      <c r="L561" t="str">
        <f t="shared" si="8"/>
        <v/>
      </c>
      <c r="N561" t="str">
        <f>IF(OR(C561="",D561=""),"",IFERROR(IF(_xludf.XLOOKUP(C561,'Master Calendar'!$A$2:$A$6,'Master Calendar'!$C$2:$C$6)=D561,"YES","NO"),"NO"))</f>
        <v/>
      </c>
    </row>
    <row r="562" spans="12:14" x14ac:dyDescent="0.25">
      <c r="L562" t="str">
        <f t="shared" si="8"/>
        <v/>
      </c>
      <c r="N562" t="str">
        <f>IF(OR(C562="",D562=""),"",IFERROR(IF(_xludf.XLOOKUP(C562,'Master Calendar'!$A$2:$A$6,'Master Calendar'!$C$2:$C$6)=D562,"YES","NO"),"NO"))</f>
        <v/>
      </c>
    </row>
    <row r="563" spans="12:14" x14ac:dyDescent="0.25">
      <c r="L563" t="str">
        <f t="shared" si="8"/>
        <v/>
      </c>
      <c r="N563" t="str">
        <f>IF(OR(C563="",D563=""),"",IFERROR(IF(_xludf.XLOOKUP(C563,'Master Calendar'!$A$2:$A$6,'Master Calendar'!$C$2:$C$6)=D563,"YES","NO"),"NO"))</f>
        <v/>
      </c>
    </row>
    <row r="564" spans="12:14" x14ac:dyDescent="0.25">
      <c r="L564" t="str">
        <f t="shared" si="8"/>
        <v/>
      </c>
      <c r="N564" t="str">
        <f>IF(OR(C564="",D564=""),"",IFERROR(IF(_xludf.XLOOKUP(C564,'Master Calendar'!$A$2:$A$6,'Master Calendar'!$C$2:$C$6)=D564,"YES","NO"),"NO"))</f>
        <v/>
      </c>
    </row>
    <row r="565" spans="12:14" x14ac:dyDescent="0.25">
      <c r="L565" t="str">
        <f t="shared" si="8"/>
        <v/>
      </c>
      <c r="N565" t="str">
        <f>IF(OR(C565="",D565=""),"",IFERROR(IF(_xludf.XLOOKUP(C565,'Master Calendar'!$A$2:$A$6,'Master Calendar'!$C$2:$C$6)=D565,"YES","NO"),"NO"))</f>
        <v/>
      </c>
    </row>
    <row r="566" spans="12:14" x14ac:dyDescent="0.25">
      <c r="L566" t="str">
        <f t="shared" si="8"/>
        <v/>
      </c>
      <c r="N566" t="str">
        <f>IF(OR(C566="",D566=""),"",IFERROR(IF(_xludf.XLOOKUP(C566,'Master Calendar'!$A$2:$A$6,'Master Calendar'!$C$2:$C$6)=D566,"YES","NO"),"NO"))</f>
        <v/>
      </c>
    </row>
    <row r="567" spans="12:14" x14ac:dyDescent="0.25">
      <c r="L567" t="str">
        <f t="shared" si="8"/>
        <v/>
      </c>
      <c r="N567" t="str">
        <f>IF(OR(C567="",D567=""),"",IFERROR(IF(_xludf.XLOOKUP(C567,'Master Calendar'!$A$2:$A$6,'Master Calendar'!$C$2:$C$6)=D567,"YES","NO"),"NO"))</f>
        <v/>
      </c>
    </row>
    <row r="568" spans="12:14" x14ac:dyDescent="0.25">
      <c r="L568" t="str">
        <f t="shared" si="8"/>
        <v/>
      </c>
      <c r="N568" t="str">
        <f>IF(OR(C568="",D568=""),"",IFERROR(IF(_xludf.XLOOKUP(C568,'Master Calendar'!$A$2:$A$6,'Master Calendar'!$C$2:$C$6)=D568,"YES","NO"),"NO"))</f>
        <v/>
      </c>
    </row>
    <row r="569" spans="12:14" x14ac:dyDescent="0.25">
      <c r="L569" t="str">
        <f t="shared" si="8"/>
        <v/>
      </c>
      <c r="N569" t="str">
        <f>IF(OR(C569="",D569=""),"",IFERROR(IF(_xludf.XLOOKUP(C569,'Master Calendar'!$A$2:$A$6,'Master Calendar'!$C$2:$C$6)=D569,"YES","NO"),"NO"))</f>
        <v/>
      </c>
    </row>
    <row r="570" spans="12:14" x14ac:dyDescent="0.25">
      <c r="L570" t="str">
        <f t="shared" si="8"/>
        <v/>
      </c>
      <c r="N570" t="str">
        <f>IF(OR(C570="",D570=""),"",IFERROR(IF(_xludf.XLOOKUP(C570,'Master Calendar'!$A$2:$A$6,'Master Calendar'!$C$2:$C$6)=D570,"YES","NO"),"NO"))</f>
        <v/>
      </c>
    </row>
    <row r="571" spans="12:14" x14ac:dyDescent="0.25">
      <c r="L571" t="str">
        <f t="shared" si="8"/>
        <v/>
      </c>
      <c r="N571" t="str">
        <f>IF(OR(C571="",D571=""),"",IFERROR(IF(_xludf.XLOOKUP(C571,'Master Calendar'!$A$2:$A$6,'Master Calendar'!$C$2:$C$6)=D571,"YES","NO"),"NO"))</f>
        <v/>
      </c>
    </row>
    <row r="572" spans="12:14" x14ac:dyDescent="0.25">
      <c r="L572" t="str">
        <f t="shared" si="8"/>
        <v/>
      </c>
      <c r="N572" t="str">
        <f>IF(OR(C572="",D572=""),"",IFERROR(IF(_xludf.XLOOKUP(C572,'Master Calendar'!$A$2:$A$6,'Master Calendar'!$C$2:$C$6)=D572,"YES","NO"),"NO"))</f>
        <v/>
      </c>
    </row>
    <row r="573" spans="12:14" x14ac:dyDescent="0.25">
      <c r="L573" t="str">
        <f t="shared" si="8"/>
        <v/>
      </c>
      <c r="N573" t="str">
        <f>IF(OR(C573="",D573=""),"",IFERROR(IF(_xludf.XLOOKUP(C573,'Master Calendar'!$A$2:$A$6,'Master Calendar'!$C$2:$C$6)=D573,"YES","NO"),"NO"))</f>
        <v/>
      </c>
    </row>
    <row r="574" spans="12:14" x14ac:dyDescent="0.25">
      <c r="L574" t="str">
        <f t="shared" si="8"/>
        <v/>
      </c>
      <c r="N574" t="str">
        <f>IF(OR(C574="",D574=""),"",IFERROR(IF(_xludf.XLOOKUP(C574,'Master Calendar'!$A$2:$A$6,'Master Calendar'!$C$2:$C$6)=D574,"YES","NO"),"NO"))</f>
        <v/>
      </c>
    </row>
    <row r="575" spans="12:14" x14ac:dyDescent="0.25">
      <c r="L575" t="str">
        <f t="shared" si="8"/>
        <v/>
      </c>
      <c r="N575" t="str">
        <f>IF(OR(C575="",D575=""),"",IFERROR(IF(_xludf.XLOOKUP(C575,'Master Calendar'!$A$2:$A$6,'Master Calendar'!$C$2:$C$6)=D575,"YES","NO"),"NO"))</f>
        <v/>
      </c>
    </row>
    <row r="576" spans="12:14" x14ac:dyDescent="0.25">
      <c r="L576" t="str">
        <f t="shared" si="8"/>
        <v/>
      </c>
      <c r="N576" t="str">
        <f>IF(OR(C576="",D576=""),"",IFERROR(IF(_xludf.XLOOKUP(C576,'Master Calendar'!$A$2:$A$6,'Master Calendar'!$C$2:$C$6)=D576,"YES","NO"),"NO"))</f>
        <v/>
      </c>
    </row>
    <row r="577" spans="12:14" x14ac:dyDescent="0.25">
      <c r="L577" t="str">
        <f t="shared" si="8"/>
        <v/>
      </c>
      <c r="N577" t="str">
        <f>IF(OR(C577="",D577=""),"",IFERROR(IF(_xludf.XLOOKUP(C577,'Master Calendar'!$A$2:$A$6,'Master Calendar'!$C$2:$C$6)=D577,"YES","NO"),"NO"))</f>
        <v/>
      </c>
    </row>
    <row r="578" spans="12:14" x14ac:dyDescent="0.25">
      <c r="L578" t="str">
        <f t="shared" ref="L578:L641" si="9">IF(OR(J578="",K578=""),"",K578*J578/100)</f>
        <v/>
      </c>
      <c r="N578" t="str">
        <f>IF(OR(C578="",D578=""),"",IFERROR(IF(_xludf.XLOOKUP(C578,'Master Calendar'!$A$2:$A$6,'Master Calendar'!$C$2:$C$6)=D578,"YES","NO"),"NO"))</f>
        <v/>
      </c>
    </row>
    <row r="579" spans="12:14" x14ac:dyDescent="0.25">
      <c r="L579" t="str">
        <f t="shared" si="9"/>
        <v/>
      </c>
      <c r="N579" t="str">
        <f>IF(OR(C579="",D579=""),"",IFERROR(IF(_xludf.XLOOKUP(C579,'Master Calendar'!$A$2:$A$6,'Master Calendar'!$C$2:$C$6)=D579,"YES","NO"),"NO"))</f>
        <v/>
      </c>
    </row>
    <row r="580" spans="12:14" x14ac:dyDescent="0.25">
      <c r="L580" t="str">
        <f t="shared" si="9"/>
        <v/>
      </c>
      <c r="N580" t="str">
        <f>IF(OR(C580="",D580=""),"",IFERROR(IF(_xludf.XLOOKUP(C580,'Master Calendar'!$A$2:$A$6,'Master Calendar'!$C$2:$C$6)=D580,"YES","NO"),"NO"))</f>
        <v/>
      </c>
    </row>
    <row r="581" spans="12:14" x14ac:dyDescent="0.25">
      <c r="L581" t="str">
        <f t="shared" si="9"/>
        <v/>
      </c>
      <c r="N581" t="str">
        <f>IF(OR(C581="",D581=""),"",IFERROR(IF(_xludf.XLOOKUP(C581,'Master Calendar'!$A$2:$A$6,'Master Calendar'!$C$2:$C$6)=D581,"YES","NO"),"NO"))</f>
        <v/>
      </c>
    </row>
    <row r="582" spans="12:14" x14ac:dyDescent="0.25">
      <c r="L582" t="str">
        <f t="shared" si="9"/>
        <v/>
      </c>
      <c r="N582" t="str">
        <f>IF(OR(C582="",D582=""),"",IFERROR(IF(_xludf.XLOOKUP(C582,'Master Calendar'!$A$2:$A$6,'Master Calendar'!$C$2:$C$6)=D582,"YES","NO"),"NO"))</f>
        <v/>
      </c>
    </row>
    <row r="583" spans="12:14" x14ac:dyDescent="0.25">
      <c r="L583" t="str">
        <f t="shared" si="9"/>
        <v/>
      </c>
      <c r="N583" t="str">
        <f>IF(OR(C583="",D583=""),"",IFERROR(IF(_xludf.XLOOKUP(C583,'Master Calendar'!$A$2:$A$6,'Master Calendar'!$C$2:$C$6)=D583,"YES","NO"),"NO"))</f>
        <v/>
      </c>
    </row>
    <row r="584" spans="12:14" x14ac:dyDescent="0.25">
      <c r="L584" t="str">
        <f t="shared" si="9"/>
        <v/>
      </c>
      <c r="N584" t="str">
        <f>IF(OR(C584="",D584=""),"",IFERROR(IF(_xludf.XLOOKUP(C584,'Master Calendar'!$A$2:$A$6,'Master Calendar'!$C$2:$C$6)=D584,"YES","NO"),"NO"))</f>
        <v/>
      </c>
    </row>
    <row r="585" spans="12:14" x14ac:dyDescent="0.25">
      <c r="L585" t="str">
        <f t="shared" si="9"/>
        <v/>
      </c>
      <c r="N585" t="str">
        <f>IF(OR(C585="",D585=""),"",IFERROR(IF(_xludf.XLOOKUP(C585,'Master Calendar'!$A$2:$A$6,'Master Calendar'!$C$2:$C$6)=D585,"YES","NO"),"NO"))</f>
        <v/>
      </c>
    </row>
    <row r="586" spans="12:14" x14ac:dyDescent="0.25">
      <c r="L586" t="str">
        <f t="shared" si="9"/>
        <v/>
      </c>
      <c r="N586" t="str">
        <f>IF(OR(C586="",D586=""),"",IFERROR(IF(_xludf.XLOOKUP(C586,'Master Calendar'!$A$2:$A$6,'Master Calendar'!$C$2:$C$6)=D586,"YES","NO"),"NO"))</f>
        <v/>
      </c>
    </row>
    <row r="587" spans="12:14" x14ac:dyDescent="0.25">
      <c r="L587" t="str">
        <f t="shared" si="9"/>
        <v/>
      </c>
      <c r="N587" t="str">
        <f>IF(OR(C587="",D587=""),"",IFERROR(IF(_xludf.XLOOKUP(C587,'Master Calendar'!$A$2:$A$6,'Master Calendar'!$C$2:$C$6)=D587,"YES","NO"),"NO"))</f>
        <v/>
      </c>
    </row>
    <row r="588" spans="12:14" x14ac:dyDescent="0.25">
      <c r="L588" t="str">
        <f t="shared" si="9"/>
        <v/>
      </c>
      <c r="N588" t="str">
        <f>IF(OR(C588="",D588=""),"",IFERROR(IF(_xludf.XLOOKUP(C588,'Master Calendar'!$A$2:$A$6,'Master Calendar'!$C$2:$C$6)=D588,"YES","NO"),"NO"))</f>
        <v/>
      </c>
    </row>
    <row r="589" spans="12:14" x14ac:dyDescent="0.25">
      <c r="L589" t="str">
        <f t="shared" si="9"/>
        <v/>
      </c>
      <c r="N589" t="str">
        <f>IF(OR(C589="",D589=""),"",IFERROR(IF(_xludf.XLOOKUP(C589,'Master Calendar'!$A$2:$A$6,'Master Calendar'!$C$2:$C$6)=D589,"YES","NO"),"NO"))</f>
        <v/>
      </c>
    </row>
    <row r="590" spans="12:14" x14ac:dyDescent="0.25">
      <c r="L590" t="str">
        <f t="shared" si="9"/>
        <v/>
      </c>
      <c r="N590" t="str">
        <f>IF(OR(C590="",D590=""),"",IFERROR(IF(_xludf.XLOOKUP(C590,'Master Calendar'!$A$2:$A$6,'Master Calendar'!$C$2:$C$6)=D590,"YES","NO"),"NO"))</f>
        <v/>
      </c>
    </row>
    <row r="591" spans="12:14" x14ac:dyDescent="0.25">
      <c r="L591" t="str">
        <f t="shared" si="9"/>
        <v/>
      </c>
      <c r="N591" t="str">
        <f>IF(OR(C591="",D591=""),"",IFERROR(IF(_xludf.XLOOKUP(C591,'Master Calendar'!$A$2:$A$6,'Master Calendar'!$C$2:$C$6)=D591,"YES","NO"),"NO"))</f>
        <v/>
      </c>
    </row>
    <row r="592" spans="12:14" x14ac:dyDescent="0.25">
      <c r="L592" t="str">
        <f t="shared" si="9"/>
        <v/>
      </c>
      <c r="N592" t="str">
        <f>IF(OR(C592="",D592=""),"",IFERROR(IF(_xludf.XLOOKUP(C592,'Master Calendar'!$A$2:$A$6,'Master Calendar'!$C$2:$C$6)=D592,"YES","NO"),"NO"))</f>
        <v/>
      </c>
    </row>
    <row r="593" spans="12:14" x14ac:dyDescent="0.25">
      <c r="L593" t="str">
        <f t="shared" si="9"/>
        <v/>
      </c>
      <c r="N593" t="str">
        <f>IF(OR(C593="",D593=""),"",IFERROR(IF(_xludf.XLOOKUP(C593,'Master Calendar'!$A$2:$A$6,'Master Calendar'!$C$2:$C$6)=D593,"YES","NO"),"NO"))</f>
        <v/>
      </c>
    </row>
    <row r="594" spans="12:14" x14ac:dyDescent="0.25">
      <c r="L594" t="str">
        <f t="shared" si="9"/>
        <v/>
      </c>
      <c r="N594" t="str">
        <f>IF(OR(C594="",D594=""),"",IFERROR(IF(_xludf.XLOOKUP(C594,'Master Calendar'!$A$2:$A$6,'Master Calendar'!$C$2:$C$6)=D594,"YES","NO"),"NO"))</f>
        <v/>
      </c>
    </row>
    <row r="595" spans="12:14" x14ac:dyDescent="0.25">
      <c r="L595" t="str">
        <f t="shared" si="9"/>
        <v/>
      </c>
      <c r="N595" t="str">
        <f>IF(OR(C595="",D595=""),"",IFERROR(IF(_xludf.XLOOKUP(C595,'Master Calendar'!$A$2:$A$6,'Master Calendar'!$C$2:$C$6)=D595,"YES","NO"),"NO"))</f>
        <v/>
      </c>
    </row>
    <row r="596" spans="12:14" x14ac:dyDescent="0.25">
      <c r="L596" t="str">
        <f t="shared" si="9"/>
        <v/>
      </c>
      <c r="N596" t="str">
        <f>IF(OR(C596="",D596=""),"",IFERROR(IF(_xludf.XLOOKUP(C596,'Master Calendar'!$A$2:$A$6,'Master Calendar'!$C$2:$C$6)=D596,"YES","NO"),"NO"))</f>
        <v/>
      </c>
    </row>
    <row r="597" spans="12:14" x14ac:dyDescent="0.25">
      <c r="L597" t="str">
        <f t="shared" si="9"/>
        <v/>
      </c>
      <c r="N597" t="str">
        <f>IF(OR(C597="",D597=""),"",IFERROR(IF(_xludf.XLOOKUP(C597,'Master Calendar'!$A$2:$A$6,'Master Calendar'!$C$2:$C$6)=D597,"YES","NO"),"NO"))</f>
        <v/>
      </c>
    </row>
    <row r="598" spans="12:14" x14ac:dyDescent="0.25">
      <c r="L598" t="str">
        <f t="shared" si="9"/>
        <v/>
      </c>
      <c r="N598" t="str">
        <f>IF(OR(C598="",D598=""),"",IFERROR(IF(_xludf.XLOOKUP(C598,'Master Calendar'!$A$2:$A$6,'Master Calendar'!$C$2:$C$6)=D598,"YES","NO"),"NO"))</f>
        <v/>
      </c>
    </row>
    <row r="599" spans="12:14" x14ac:dyDescent="0.25">
      <c r="L599" t="str">
        <f t="shared" si="9"/>
        <v/>
      </c>
      <c r="N599" t="str">
        <f>IF(OR(C599="",D599=""),"",IFERROR(IF(_xludf.XLOOKUP(C599,'Master Calendar'!$A$2:$A$6,'Master Calendar'!$C$2:$C$6)=D599,"YES","NO"),"NO"))</f>
        <v/>
      </c>
    </row>
    <row r="600" spans="12:14" x14ac:dyDescent="0.25">
      <c r="L600" t="str">
        <f t="shared" si="9"/>
        <v/>
      </c>
      <c r="N600" t="str">
        <f>IF(OR(C600="",D600=""),"",IFERROR(IF(_xludf.XLOOKUP(C600,'Master Calendar'!$A$2:$A$6,'Master Calendar'!$C$2:$C$6)=D600,"YES","NO"),"NO"))</f>
        <v/>
      </c>
    </row>
    <row r="601" spans="12:14" x14ac:dyDescent="0.25">
      <c r="L601" t="str">
        <f t="shared" si="9"/>
        <v/>
      </c>
      <c r="N601" t="str">
        <f>IF(OR(C601="",D601=""),"",IFERROR(IF(_xludf.XLOOKUP(C601,'Master Calendar'!$A$2:$A$6,'Master Calendar'!$C$2:$C$6)=D601,"YES","NO"),"NO"))</f>
        <v/>
      </c>
    </row>
    <row r="602" spans="12:14" x14ac:dyDescent="0.25">
      <c r="L602" t="str">
        <f t="shared" si="9"/>
        <v/>
      </c>
      <c r="N602" t="str">
        <f>IF(OR(C602="",D602=""),"",IFERROR(IF(_xludf.XLOOKUP(C602,'Master Calendar'!$A$2:$A$6,'Master Calendar'!$C$2:$C$6)=D602,"YES","NO"),"NO"))</f>
        <v/>
      </c>
    </row>
    <row r="603" spans="12:14" x14ac:dyDescent="0.25">
      <c r="L603" t="str">
        <f t="shared" si="9"/>
        <v/>
      </c>
      <c r="N603" t="str">
        <f>IF(OR(C603="",D603=""),"",IFERROR(IF(_xludf.XLOOKUP(C603,'Master Calendar'!$A$2:$A$6,'Master Calendar'!$C$2:$C$6)=D603,"YES","NO"),"NO"))</f>
        <v/>
      </c>
    </row>
    <row r="604" spans="12:14" x14ac:dyDescent="0.25">
      <c r="L604" t="str">
        <f t="shared" si="9"/>
        <v/>
      </c>
      <c r="N604" t="str">
        <f>IF(OR(C604="",D604=""),"",IFERROR(IF(_xludf.XLOOKUP(C604,'Master Calendar'!$A$2:$A$6,'Master Calendar'!$C$2:$C$6)=D604,"YES","NO"),"NO"))</f>
        <v/>
      </c>
    </row>
    <row r="605" spans="12:14" x14ac:dyDescent="0.25">
      <c r="L605" t="str">
        <f t="shared" si="9"/>
        <v/>
      </c>
      <c r="N605" t="str">
        <f>IF(OR(C605="",D605=""),"",IFERROR(IF(_xludf.XLOOKUP(C605,'Master Calendar'!$A$2:$A$6,'Master Calendar'!$C$2:$C$6)=D605,"YES","NO"),"NO"))</f>
        <v/>
      </c>
    </row>
    <row r="606" spans="12:14" x14ac:dyDescent="0.25">
      <c r="L606" t="str">
        <f t="shared" si="9"/>
        <v/>
      </c>
      <c r="N606" t="str">
        <f>IF(OR(C606="",D606=""),"",IFERROR(IF(_xludf.XLOOKUP(C606,'Master Calendar'!$A$2:$A$6,'Master Calendar'!$C$2:$C$6)=D606,"YES","NO"),"NO"))</f>
        <v/>
      </c>
    </row>
    <row r="607" spans="12:14" x14ac:dyDescent="0.25">
      <c r="L607" t="str">
        <f t="shared" si="9"/>
        <v/>
      </c>
      <c r="N607" t="str">
        <f>IF(OR(C607="",D607=""),"",IFERROR(IF(_xludf.XLOOKUP(C607,'Master Calendar'!$A$2:$A$6,'Master Calendar'!$C$2:$C$6)=D607,"YES","NO"),"NO"))</f>
        <v/>
      </c>
    </row>
    <row r="608" spans="12:14" x14ac:dyDescent="0.25">
      <c r="L608" t="str">
        <f t="shared" si="9"/>
        <v/>
      </c>
      <c r="N608" t="str">
        <f>IF(OR(C608="",D608=""),"",IFERROR(IF(_xludf.XLOOKUP(C608,'Master Calendar'!$A$2:$A$6,'Master Calendar'!$C$2:$C$6)=D608,"YES","NO"),"NO"))</f>
        <v/>
      </c>
    </row>
    <row r="609" spans="12:14" x14ac:dyDescent="0.25">
      <c r="L609" t="str">
        <f t="shared" si="9"/>
        <v/>
      </c>
      <c r="N609" t="str">
        <f>IF(OR(C609="",D609=""),"",IFERROR(IF(_xludf.XLOOKUP(C609,'Master Calendar'!$A$2:$A$6,'Master Calendar'!$C$2:$C$6)=D609,"YES","NO"),"NO"))</f>
        <v/>
      </c>
    </row>
    <row r="610" spans="12:14" x14ac:dyDescent="0.25">
      <c r="L610" t="str">
        <f t="shared" si="9"/>
        <v/>
      </c>
      <c r="N610" t="str">
        <f>IF(OR(C610="",D610=""),"",IFERROR(IF(_xludf.XLOOKUP(C610,'Master Calendar'!$A$2:$A$6,'Master Calendar'!$C$2:$C$6)=D610,"YES","NO"),"NO"))</f>
        <v/>
      </c>
    </row>
    <row r="611" spans="12:14" x14ac:dyDescent="0.25">
      <c r="L611" t="str">
        <f t="shared" si="9"/>
        <v/>
      </c>
      <c r="N611" t="str">
        <f>IF(OR(C611="",D611=""),"",IFERROR(IF(_xludf.XLOOKUP(C611,'Master Calendar'!$A$2:$A$6,'Master Calendar'!$C$2:$C$6)=D611,"YES","NO"),"NO"))</f>
        <v/>
      </c>
    </row>
    <row r="612" spans="12:14" x14ac:dyDescent="0.25">
      <c r="L612" t="str">
        <f t="shared" si="9"/>
        <v/>
      </c>
      <c r="N612" t="str">
        <f>IF(OR(C612="",D612=""),"",IFERROR(IF(_xludf.XLOOKUP(C612,'Master Calendar'!$A$2:$A$6,'Master Calendar'!$C$2:$C$6)=D612,"YES","NO"),"NO"))</f>
        <v/>
      </c>
    </row>
    <row r="613" spans="12:14" x14ac:dyDescent="0.25">
      <c r="L613" t="str">
        <f t="shared" si="9"/>
        <v/>
      </c>
      <c r="N613" t="str">
        <f>IF(OR(C613="",D613=""),"",IFERROR(IF(_xludf.XLOOKUP(C613,'Master Calendar'!$A$2:$A$6,'Master Calendar'!$C$2:$C$6)=D613,"YES","NO"),"NO"))</f>
        <v/>
      </c>
    </row>
    <row r="614" spans="12:14" x14ac:dyDescent="0.25">
      <c r="L614" t="str">
        <f t="shared" si="9"/>
        <v/>
      </c>
      <c r="N614" t="str">
        <f>IF(OR(C614="",D614=""),"",IFERROR(IF(_xludf.XLOOKUP(C614,'Master Calendar'!$A$2:$A$6,'Master Calendar'!$C$2:$C$6)=D614,"YES","NO"),"NO"))</f>
        <v/>
      </c>
    </row>
    <row r="615" spans="12:14" x14ac:dyDescent="0.25">
      <c r="L615" t="str">
        <f t="shared" si="9"/>
        <v/>
      </c>
      <c r="N615" t="str">
        <f>IF(OR(C615="",D615=""),"",IFERROR(IF(_xludf.XLOOKUP(C615,'Master Calendar'!$A$2:$A$6,'Master Calendar'!$C$2:$C$6)=D615,"YES","NO"),"NO"))</f>
        <v/>
      </c>
    </row>
    <row r="616" spans="12:14" x14ac:dyDescent="0.25">
      <c r="L616" t="str">
        <f t="shared" si="9"/>
        <v/>
      </c>
      <c r="N616" t="str">
        <f>IF(OR(C616="",D616=""),"",IFERROR(IF(_xludf.XLOOKUP(C616,'Master Calendar'!$A$2:$A$6,'Master Calendar'!$C$2:$C$6)=D616,"YES","NO"),"NO"))</f>
        <v/>
      </c>
    </row>
    <row r="617" spans="12:14" x14ac:dyDescent="0.25">
      <c r="L617" t="str">
        <f t="shared" si="9"/>
        <v/>
      </c>
      <c r="N617" t="str">
        <f>IF(OR(C617="",D617=""),"",IFERROR(IF(_xludf.XLOOKUP(C617,'Master Calendar'!$A$2:$A$6,'Master Calendar'!$C$2:$C$6)=D617,"YES","NO"),"NO"))</f>
        <v/>
      </c>
    </row>
    <row r="618" spans="12:14" x14ac:dyDescent="0.25">
      <c r="L618" t="str">
        <f t="shared" si="9"/>
        <v/>
      </c>
      <c r="N618" t="str">
        <f>IF(OR(C618="",D618=""),"",IFERROR(IF(_xludf.XLOOKUP(C618,'Master Calendar'!$A$2:$A$6,'Master Calendar'!$C$2:$C$6)=D618,"YES","NO"),"NO"))</f>
        <v/>
      </c>
    </row>
    <row r="619" spans="12:14" x14ac:dyDescent="0.25">
      <c r="L619" t="str">
        <f t="shared" si="9"/>
        <v/>
      </c>
      <c r="N619" t="str">
        <f>IF(OR(C619="",D619=""),"",IFERROR(IF(_xludf.XLOOKUP(C619,'Master Calendar'!$A$2:$A$6,'Master Calendar'!$C$2:$C$6)=D619,"YES","NO"),"NO"))</f>
        <v/>
      </c>
    </row>
    <row r="620" spans="12:14" x14ac:dyDescent="0.25">
      <c r="L620" t="str">
        <f t="shared" si="9"/>
        <v/>
      </c>
      <c r="N620" t="str">
        <f>IF(OR(C620="",D620=""),"",IFERROR(IF(_xludf.XLOOKUP(C620,'Master Calendar'!$A$2:$A$6,'Master Calendar'!$C$2:$C$6)=D620,"YES","NO"),"NO"))</f>
        <v/>
      </c>
    </row>
    <row r="621" spans="12:14" x14ac:dyDescent="0.25">
      <c r="L621" t="str">
        <f t="shared" si="9"/>
        <v/>
      </c>
      <c r="N621" t="str">
        <f>IF(OR(C621="",D621=""),"",IFERROR(IF(_xludf.XLOOKUP(C621,'Master Calendar'!$A$2:$A$6,'Master Calendar'!$C$2:$C$6)=D621,"YES","NO"),"NO"))</f>
        <v/>
      </c>
    </row>
    <row r="622" spans="12:14" x14ac:dyDescent="0.25">
      <c r="L622" t="str">
        <f t="shared" si="9"/>
        <v/>
      </c>
      <c r="N622" t="str">
        <f>IF(OR(C622="",D622=""),"",IFERROR(IF(_xludf.XLOOKUP(C622,'Master Calendar'!$A$2:$A$6,'Master Calendar'!$C$2:$C$6)=D622,"YES","NO"),"NO"))</f>
        <v/>
      </c>
    </row>
    <row r="623" spans="12:14" x14ac:dyDescent="0.25">
      <c r="L623" t="str">
        <f t="shared" si="9"/>
        <v/>
      </c>
      <c r="N623" t="str">
        <f>IF(OR(C623="",D623=""),"",IFERROR(IF(_xludf.XLOOKUP(C623,'Master Calendar'!$A$2:$A$6,'Master Calendar'!$C$2:$C$6)=D623,"YES","NO"),"NO"))</f>
        <v/>
      </c>
    </row>
    <row r="624" spans="12:14" x14ac:dyDescent="0.25">
      <c r="L624" t="str">
        <f t="shared" si="9"/>
        <v/>
      </c>
      <c r="N624" t="str">
        <f>IF(OR(C624="",D624=""),"",IFERROR(IF(_xludf.XLOOKUP(C624,'Master Calendar'!$A$2:$A$6,'Master Calendar'!$C$2:$C$6)=D624,"YES","NO"),"NO"))</f>
        <v/>
      </c>
    </row>
    <row r="625" spans="12:14" x14ac:dyDescent="0.25">
      <c r="L625" t="str">
        <f t="shared" si="9"/>
        <v/>
      </c>
      <c r="N625" t="str">
        <f>IF(OR(C625="",D625=""),"",IFERROR(IF(_xludf.XLOOKUP(C625,'Master Calendar'!$A$2:$A$6,'Master Calendar'!$C$2:$C$6)=D625,"YES","NO"),"NO"))</f>
        <v/>
      </c>
    </row>
    <row r="626" spans="12:14" x14ac:dyDescent="0.25">
      <c r="L626" t="str">
        <f t="shared" si="9"/>
        <v/>
      </c>
      <c r="N626" t="str">
        <f>IF(OR(C626="",D626=""),"",IFERROR(IF(_xludf.XLOOKUP(C626,'Master Calendar'!$A$2:$A$6,'Master Calendar'!$C$2:$C$6)=D626,"YES","NO"),"NO"))</f>
        <v/>
      </c>
    </row>
    <row r="627" spans="12:14" x14ac:dyDescent="0.25">
      <c r="L627" t="str">
        <f t="shared" si="9"/>
        <v/>
      </c>
      <c r="N627" t="str">
        <f>IF(OR(C627="",D627=""),"",IFERROR(IF(_xludf.XLOOKUP(C627,'Master Calendar'!$A$2:$A$6,'Master Calendar'!$C$2:$C$6)=D627,"YES","NO"),"NO"))</f>
        <v/>
      </c>
    </row>
    <row r="628" spans="12:14" x14ac:dyDescent="0.25">
      <c r="L628" t="str">
        <f t="shared" si="9"/>
        <v/>
      </c>
      <c r="N628" t="str">
        <f>IF(OR(C628="",D628=""),"",IFERROR(IF(_xludf.XLOOKUP(C628,'Master Calendar'!$A$2:$A$6,'Master Calendar'!$C$2:$C$6)=D628,"YES","NO"),"NO"))</f>
        <v/>
      </c>
    </row>
    <row r="629" spans="12:14" x14ac:dyDescent="0.25">
      <c r="L629" t="str">
        <f t="shared" si="9"/>
        <v/>
      </c>
      <c r="N629" t="str">
        <f>IF(OR(C629="",D629=""),"",IFERROR(IF(_xludf.XLOOKUP(C629,'Master Calendar'!$A$2:$A$6,'Master Calendar'!$C$2:$C$6)=D629,"YES","NO"),"NO"))</f>
        <v/>
      </c>
    </row>
    <row r="630" spans="12:14" x14ac:dyDescent="0.25">
      <c r="L630" t="str">
        <f t="shared" si="9"/>
        <v/>
      </c>
      <c r="N630" t="str">
        <f>IF(OR(C630="",D630=""),"",IFERROR(IF(_xludf.XLOOKUP(C630,'Master Calendar'!$A$2:$A$6,'Master Calendar'!$C$2:$C$6)=D630,"YES","NO"),"NO"))</f>
        <v/>
      </c>
    </row>
    <row r="631" spans="12:14" x14ac:dyDescent="0.25">
      <c r="L631" t="str">
        <f t="shared" si="9"/>
        <v/>
      </c>
      <c r="N631" t="str">
        <f>IF(OR(C631="",D631=""),"",IFERROR(IF(_xludf.XLOOKUP(C631,'Master Calendar'!$A$2:$A$6,'Master Calendar'!$C$2:$C$6)=D631,"YES","NO"),"NO"))</f>
        <v/>
      </c>
    </row>
    <row r="632" spans="12:14" x14ac:dyDescent="0.25">
      <c r="L632" t="str">
        <f t="shared" si="9"/>
        <v/>
      </c>
      <c r="N632" t="str">
        <f>IF(OR(C632="",D632=""),"",IFERROR(IF(_xludf.XLOOKUP(C632,'Master Calendar'!$A$2:$A$6,'Master Calendar'!$C$2:$C$6)=D632,"YES","NO"),"NO"))</f>
        <v/>
      </c>
    </row>
    <row r="633" spans="12:14" x14ac:dyDescent="0.25">
      <c r="L633" t="str">
        <f t="shared" si="9"/>
        <v/>
      </c>
      <c r="N633" t="str">
        <f>IF(OR(C633="",D633=""),"",IFERROR(IF(_xludf.XLOOKUP(C633,'Master Calendar'!$A$2:$A$6,'Master Calendar'!$C$2:$C$6)=D633,"YES","NO"),"NO"))</f>
        <v/>
      </c>
    </row>
    <row r="634" spans="12:14" x14ac:dyDescent="0.25">
      <c r="L634" t="str">
        <f t="shared" si="9"/>
        <v/>
      </c>
      <c r="N634" t="str">
        <f>IF(OR(C634="",D634=""),"",IFERROR(IF(_xludf.XLOOKUP(C634,'Master Calendar'!$A$2:$A$6,'Master Calendar'!$C$2:$C$6)=D634,"YES","NO"),"NO"))</f>
        <v/>
      </c>
    </row>
    <row r="635" spans="12:14" x14ac:dyDescent="0.25">
      <c r="L635" t="str">
        <f t="shared" si="9"/>
        <v/>
      </c>
      <c r="N635" t="str">
        <f>IF(OR(C635="",D635=""),"",IFERROR(IF(_xludf.XLOOKUP(C635,'Master Calendar'!$A$2:$A$6,'Master Calendar'!$C$2:$C$6)=D635,"YES","NO"),"NO"))</f>
        <v/>
      </c>
    </row>
    <row r="636" spans="12:14" x14ac:dyDescent="0.25">
      <c r="L636" t="str">
        <f t="shared" si="9"/>
        <v/>
      </c>
      <c r="N636" t="str">
        <f>IF(OR(C636="",D636=""),"",IFERROR(IF(_xludf.XLOOKUP(C636,'Master Calendar'!$A$2:$A$6,'Master Calendar'!$C$2:$C$6)=D636,"YES","NO"),"NO"))</f>
        <v/>
      </c>
    </row>
    <row r="637" spans="12:14" x14ac:dyDescent="0.25">
      <c r="L637" t="str">
        <f t="shared" si="9"/>
        <v/>
      </c>
      <c r="N637" t="str">
        <f>IF(OR(C637="",D637=""),"",IFERROR(IF(_xludf.XLOOKUP(C637,'Master Calendar'!$A$2:$A$6,'Master Calendar'!$C$2:$C$6)=D637,"YES","NO"),"NO"))</f>
        <v/>
      </c>
    </row>
    <row r="638" spans="12:14" x14ac:dyDescent="0.25">
      <c r="L638" t="str">
        <f t="shared" si="9"/>
        <v/>
      </c>
      <c r="N638" t="str">
        <f>IF(OR(C638="",D638=""),"",IFERROR(IF(_xludf.XLOOKUP(C638,'Master Calendar'!$A$2:$A$6,'Master Calendar'!$C$2:$C$6)=D638,"YES","NO"),"NO"))</f>
        <v/>
      </c>
    </row>
    <row r="639" spans="12:14" x14ac:dyDescent="0.25">
      <c r="L639" t="str">
        <f t="shared" si="9"/>
        <v/>
      </c>
      <c r="N639" t="str">
        <f>IF(OR(C639="",D639=""),"",IFERROR(IF(_xludf.XLOOKUP(C639,'Master Calendar'!$A$2:$A$6,'Master Calendar'!$C$2:$C$6)=D639,"YES","NO"),"NO"))</f>
        <v/>
      </c>
    </row>
    <row r="640" spans="12:14" x14ac:dyDescent="0.25">
      <c r="L640" t="str">
        <f t="shared" si="9"/>
        <v/>
      </c>
      <c r="N640" t="str">
        <f>IF(OR(C640="",D640=""),"",IFERROR(IF(_xludf.XLOOKUP(C640,'Master Calendar'!$A$2:$A$6,'Master Calendar'!$C$2:$C$6)=D640,"YES","NO"),"NO"))</f>
        <v/>
      </c>
    </row>
    <row r="641" spans="12:14" x14ac:dyDescent="0.25">
      <c r="L641" t="str">
        <f t="shared" si="9"/>
        <v/>
      </c>
      <c r="N641" t="str">
        <f>IF(OR(C641="",D641=""),"",IFERROR(IF(_xludf.XLOOKUP(C641,'Master Calendar'!$A$2:$A$6,'Master Calendar'!$C$2:$C$6)=D641,"YES","NO"),"NO"))</f>
        <v/>
      </c>
    </row>
    <row r="642" spans="12:14" x14ac:dyDescent="0.25">
      <c r="L642" t="str">
        <f t="shared" ref="L642:L705" si="10">IF(OR(J642="",K642=""),"",K642*J642/100)</f>
        <v/>
      </c>
      <c r="N642" t="str">
        <f>IF(OR(C642="",D642=""),"",IFERROR(IF(_xludf.XLOOKUP(C642,'Master Calendar'!$A$2:$A$6,'Master Calendar'!$C$2:$C$6)=D642,"YES","NO"),"NO"))</f>
        <v/>
      </c>
    </row>
    <row r="643" spans="12:14" x14ac:dyDescent="0.25">
      <c r="L643" t="str">
        <f t="shared" si="10"/>
        <v/>
      </c>
      <c r="N643" t="str">
        <f>IF(OR(C643="",D643=""),"",IFERROR(IF(_xludf.XLOOKUP(C643,'Master Calendar'!$A$2:$A$6,'Master Calendar'!$C$2:$C$6)=D643,"YES","NO"),"NO"))</f>
        <v/>
      </c>
    </row>
    <row r="644" spans="12:14" x14ac:dyDescent="0.25">
      <c r="L644" t="str">
        <f t="shared" si="10"/>
        <v/>
      </c>
      <c r="N644" t="str">
        <f>IF(OR(C644="",D644=""),"",IFERROR(IF(_xludf.XLOOKUP(C644,'Master Calendar'!$A$2:$A$6,'Master Calendar'!$C$2:$C$6)=D644,"YES","NO"),"NO"))</f>
        <v/>
      </c>
    </row>
    <row r="645" spans="12:14" x14ac:dyDescent="0.25">
      <c r="L645" t="str">
        <f t="shared" si="10"/>
        <v/>
      </c>
      <c r="N645" t="str">
        <f>IF(OR(C645="",D645=""),"",IFERROR(IF(_xludf.XLOOKUP(C645,'Master Calendar'!$A$2:$A$6,'Master Calendar'!$C$2:$C$6)=D645,"YES","NO"),"NO"))</f>
        <v/>
      </c>
    </row>
    <row r="646" spans="12:14" x14ac:dyDescent="0.25">
      <c r="L646" t="str">
        <f t="shared" si="10"/>
        <v/>
      </c>
      <c r="N646" t="str">
        <f>IF(OR(C646="",D646=""),"",IFERROR(IF(_xludf.XLOOKUP(C646,'Master Calendar'!$A$2:$A$6,'Master Calendar'!$C$2:$C$6)=D646,"YES","NO"),"NO"))</f>
        <v/>
      </c>
    </row>
    <row r="647" spans="12:14" x14ac:dyDescent="0.25">
      <c r="L647" t="str">
        <f t="shared" si="10"/>
        <v/>
      </c>
      <c r="N647" t="str">
        <f>IF(OR(C647="",D647=""),"",IFERROR(IF(_xludf.XLOOKUP(C647,'Master Calendar'!$A$2:$A$6,'Master Calendar'!$C$2:$C$6)=D647,"YES","NO"),"NO"))</f>
        <v/>
      </c>
    </row>
    <row r="648" spans="12:14" x14ac:dyDescent="0.25">
      <c r="L648" t="str">
        <f t="shared" si="10"/>
        <v/>
      </c>
      <c r="N648" t="str">
        <f>IF(OR(C648="",D648=""),"",IFERROR(IF(_xludf.XLOOKUP(C648,'Master Calendar'!$A$2:$A$6,'Master Calendar'!$C$2:$C$6)=D648,"YES","NO"),"NO"))</f>
        <v/>
      </c>
    </row>
    <row r="649" spans="12:14" x14ac:dyDescent="0.25">
      <c r="L649" t="str">
        <f t="shared" si="10"/>
        <v/>
      </c>
      <c r="N649" t="str">
        <f>IF(OR(C649="",D649=""),"",IFERROR(IF(_xludf.XLOOKUP(C649,'Master Calendar'!$A$2:$A$6,'Master Calendar'!$C$2:$C$6)=D649,"YES","NO"),"NO"))</f>
        <v/>
      </c>
    </row>
    <row r="650" spans="12:14" x14ac:dyDescent="0.25">
      <c r="L650" t="str">
        <f t="shared" si="10"/>
        <v/>
      </c>
      <c r="N650" t="str">
        <f>IF(OR(C650="",D650=""),"",IFERROR(IF(_xludf.XLOOKUP(C650,'Master Calendar'!$A$2:$A$6,'Master Calendar'!$C$2:$C$6)=D650,"YES","NO"),"NO"))</f>
        <v/>
      </c>
    </row>
    <row r="651" spans="12:14" x14ac:dyDescent="0.25">
      <c r="L651" t="str">
        <f t="shared" si="10"/>
        <v/>
      </c>
      <c r="N651" t="str">
        <f>IF(OR(C651="",D651=""),"",IFERROR(IF(_xludf.XLOOKUP(C651,'Master Calendar'!$A$2:$A$6,'Master Calendar'!$C$2:$C$6)=D651,"YES","NO"),"NO"))</f>
        <v/>
      </c>
    </row>
    <row r="652" spans="12:14" x14ac:dyDescent="0.25">
      <c r="L652" t="str">
        <f t="shared" si="10"/>
        <v/>
      </c>
      <c r="N652" t="str">
        <f>IF(OR(C652="",D652=""),"",IFERROR(IF(_xludf.XLOOKUP(C652,'Master Calendar'!$A$2:$A$6,'Master Calendar'!$C$2:$C$6)=D652,"YES","NO"),"NO"))</f>
        <v/>
      </c>
    </row>
    <row r="653" spans="12:14" x14ac:dyDescent="0.25">
      <c r="L653" t="str">
        <f t="shared" si="10"/>
        <v/>
      </c>
      <c r="N653" t="str">
        <f>IF(OR(C653="",D653=""),"",IFERROR(IF(_xludf.XLOOKUP(C653,'Master Calendar'!$A$2:$A$6,'Master Calendar'!$C$2:$C$6)=D653,"YES","NO"),"NO"))</f>
        <v/>
      </c>
    </row>
    <row r="654" spans="12:14" x14ac:dyDescent="0.25">
      <c r="L654" t="str">
        <f t="shared" si="10"/>
        <v/>
      </c>
      <c r="N654" t="str">
        <f>IF(OR(C654="",D654=""),"",IFERROR(IF(_xludf.XLOOKUP(C654,'Master Calendar'!$A$2:$A$6,'Master Calendar'!$C$2:$C$6)=D654,"YES","NO"),"NO"))</f>
        <v/>
      </c>
    </row>
    <row r="655" spans="12:14" x14ac:dyDescent="0.25">
      <c r="L655" t="str">
        <f t="shared" si="10"/>
        <v/>
      </c>
      <c r="N655" t="str">
        <f>IF(OR(C655="",D655=""),"",IFERROR(IF(_xludf.XLOOKUP(C655,'Master Calendar'!$A$2:$A$6,'Master Calendar'!$C$2:$C$6)=D655,"YES","NO"),"NO"))</f>
        <v/>
      </c>
    </row>
    <row r="656" spans="12:14" x14ac:dyDescent="0.25">
      <c r="L656" t="str">
        <f t="shared" si="10"/>
        <v/>
      </c>
      <c r="N656" t="str">
        <f>IF(OR(C656="",D656=""),"",IFERROR(IF(_xludf.XLOOKUP(C656,'Master Calendar'!$A$2:$A$6,'Master Calendar'!$C$2:$C$6)=D656,"YES","NO"),"NO"))</f>
        <v/>
      </c>
    </row>
    <row r="657" spans="12:14" x14ac:dyDescent="0.25">
      <c r="L657" t="str">
        <f t="shared" si="10"/>
        <v/>
      </c>
      <c r="N657" t="str">
        <f>IF(OR(C657="",D657=""),"",IFERROR(IF(_xludf.XLOOKUP(C657,'Master Calendar'!$A$2:$A$6,'Master Calendar'!$C$2:$C$6)=D657,"YES","NO"),"NO"))</f>
        <v/>
      </c>
    </row>
    <row r="658" spans="12:14" x14ac:dyDescent="0.25">
      <c r="L658" t="str">
        <f t="shared" si="10"/>
        <v/>
      </c>
      <c r="N658" t="str">
        <f>IF(OR(C658="",D658=""),"",IFERROR(IF(_xludf.XLOOKUP(C658,'Master Calendar'!$A$2:$A$6,'Master Calendar'!$C$2:$C$6)=D658,"YES","NO"),"NO"))</f>
        <v/>
      </c>
    </row>
    <row r="659" spans="12:14" x14ac:dyDescent="0.25">
      <c r="L659" t="str">
        <f t="shared" si="10"/>
        <v/>
      </c>
      <c r="N659" t="str">
        <f>IF(OR(C659="",D659=""),"",IFERROR(IF(_xludf.XLOOKUP(C659,'Master Calendar'!$A$2:$A$6,'Master Calendar'!$C$2:$C$6)=D659,"YES","NO"),"NO"))</f>
        <v/>
      </c>
    </row>
    <row r="660" spans="12:14" x14ac:dyDescent="0.25">
      <c r="L660" t="str">
        <f t="shared" si="10"/>
        <v/>
      </c>
      <c r="N660" t="str">
        <f>IF(OR(C660="",D660=""),"",IFERROR(IF(_xludf.XLOOKUP(C660,'Master Calendar'!$A$2:$A$6,'Master Calendar'!$C$2:$C$6)=D660,"YES","NO"),"NO"))</f>
        <v/>
      </c>
    </row>
    <row r="661" spans="12:14" x14ac:dyDescent="0.25">
      <c r="L661" t="str">
        <f t="shared" si="10"/>
        <v/>
      </c>
      <c r="N661" t="str">
        <f>IF(OR(C661="",D661=""),"",IFERROR(IF(_xludf.XLOOKUP(C661,'Master Calendar'!$A$2:$A$6,'Master Calendar'!$C$2:$C$6)=D661,"YES","NO"),"NO"))</f>
        <v/>
      </c>
    </row>
    <row r="662" spans="12:14" x14ac:dyDescent="0.25">
      <c r="L662" t="str">
        <f t="shared" si="10"/>
        <v/>
      </c>
      <c r="N662" t="str">
        <f>IF(OR(C662="",D662=""),"",IFERROR(IF(_xludf.XLOOKUP(C662,'Master Calendar'!$A$2:$A$6,'Master Calendar'!$C$2:$C$6)=D662,"YES","NO"),"NO"))</f>
        <v/>
      </c>
    </row>
    <row r="663" spans="12:14" x14ac:dyDescent="0.25">
      <c r="L663" t="str">
        <f t="shared" si="10"/>
        <v/>
      </c>
      <c r="N663" t="str">
        <f>IF(OR(C663="",D663=""),"",IFERROR(IF(_xludf.XLOOKUP(C663,'Master Calendar'!$A$2:$A$6,'Master Calendar'!$C$2:$C$6)=D663,"YES","NO"),"NO"))</f>
        <v/>
      </c>
    </row>
    <row r="664" spans="12:14" x14ac:dyDescent="0.25">
      <c r="L664" t="str">
        <f t="shared" si="10"/>
        <v/>
      </c>
      <c r="N664" t="str">
        <f>IF(OR(C664="",D664=""),"",IFERROR(IF(_xludf.XLOOKUP(C664,'Master Calendar'!$A$2:$A$6,'Master Calendar'!$C$2:$C$6)=D664,"YES","NO"),"NO"))</f>
        <v/>
      </c>
    </row>
    <row r="665" spans="12:14" x14ac:dyDescent="0.25">
      <c r="L665" t="str">
        <f t="shared" si="10"/>
        <v/>
      </c>
      <c r="N665" t="str">
        <f>IF(OR(C665="",D665=""),"",IFERROR(IF(_xludf.XLOOKUP(C665,'Master Calendar'!$A$2:$A$6,'Master Calendar'!$C$2:$C$6)=D665,"YES","NO"),"NO"))</f>
        <v/>
      </c>
    </row>
    <row r="666" spans="12:14" x14ac:dyDescent="0.25">
      <c r="L666" t="str">
        <f t="shared" si="10"/>
        <v/>
      </c>
      <c r="N666" t="str">
        <f>IF(OR(C666="",D666=""),"",IFERROR(IF(_xludf.XLOOKUP(C666,'Master Calendar'!$A$2:$A$6,'Master Calendar'!$C$2:$C$6)=D666,"YES","NO"),"NO"))</f>
        <v/>
      </c>
    </row>
    <row r="667" spans="12:14" x14ac:dyDescent="0.25">
      <c r="L667" t="str">
        <f t="shared" si="10"/>
        <v/>
      </c>
      <c r="N667" t="str">
        <f>IF(OR(C667="",D667=""),"",IFERROR(IF(_xludf.XLOOKUP(C667,'Master Calendar'!$A$2:$A$6,'Master Calendar'!$C$2:$C$6)=D667,"YES","NO"),"NO"))</f>
        <v/>
      </c>
    </row>
    <row r="668" spans="12:14" x14ac:dyDescent="0.25">
      <c r="L668" t="str">
        <f t="shared" si="10"/>
        <v/>
      </c>
      <c r="N668" t="str">
        <f>IF(OR(C668="",D668=""),"",IFERROR(IF(_xludf.XLOOKUP(C668,'Master Calendar'!$A$2:$A$6,'Master Calendar'!$C$2:$C$6)=D668,"YES","NO"),"NO"))</f>
        <v/>
      </c>
    </row>
    <row r="669" spans="12:14" x14ac:dyDescent="0.25">
      <c r="L669" t="str">
        <f t="shared" si="10"/>
        <v/>
      </c>
      <c r="N669" t="str">
        <f>IF(OR(C669="",D669=""),"",IFERROR(IF(_xludf.XLOOKUP(C669,'Master Calendar'!$A$2:$A$6,'Master Calendar'!$C$2:$C$6)=D669,"YES","NO"),"NO"))</f>
        <v/>
      </c>
    </row>
    <row r="670" spans="12:14" x14ac:dyDescent="0.25">
      <c r="L670" t="str">
        <f t="shared" si="10"/>
        <v/>
      </c>
      <c r="N670" t="str">
        <f>IF(OR(C670="",D670=""),"",IFERROR(IF(_xludf.XLOOKUP(C670,'Master Calendar'!$A$2:$A$6,'Master Calendar'!$C$2:$C$6)=D670,"YES","NO"),"NO"))</f>
        <v/>
      </c>
    </row>
    <row r="671" spans="12:14" x14ac:dyDescent="0.25">
      <c r="L671" t="str">
        <f t="shared" si="10"/>
        <v/>
      </c>
      <c r="N671" t="str">
        <f>IF(OR(C671="",D671=""),"",IFERROR(IF(_xludf.XLOOKUP(C671,'Master Calendar'!$A$2:$A$6,'Master Calendar'!$C$2:$C$6)=D671,"YES","NO"),"NO"))</f>
        <v/>
      </c>
    </row>
    <row r="672" spans="12:14" x14ac:dyDescent="0.25">
      <c r="L672" t="str">
        <f t="shared" si="10"/>
        <v/>
      </c>
      <c r="N672" t="str">
        <f>IF(OR(C672="",D672=""),"",IFERROR(IF(_xludf.XLOOKUP(C672,'Master Calendar'!$A$2:$A$6,'Master Calendar'!$C$2:$C$6)=D672,"YES","NO"),"NO"))</f>
        <v/>
      </c>
    </row>
    <row r="673" spans="12:14" x14ac:dyDescent="0.25">
      <c r="L673" t="str">
        <f t="shared" si="10"/>
        <v/>
      </c>
      <c r="N673" t="str">
        <f>IF(OR(C673="",D673=""),"",IFERROR(IF(_xludf.XLOOKUP(C673,'Master Calendar'!$A$2:$A$6,'Master Calendar'!$C$2:$C$6)=D673,"YES","NO"),"NO"))</f>
        <v/>
      </c>
    </row>
    <row r="674" spans="12:14" x14ac:dyDescent="0.25">
      <c r="L674" t="str">
        <f t="shared" si="10"/>
        <v/>
      </c>
      <c r="N674" t="str">
        <f>IF(OR(C674="",D674=""),"",IFERROR(IF(_xludf.XLOOKUP(C674,'Master Calendar'!$A$2:$A$6,'Master Calendar'!$C$2:$C$6)=D674,"YES","NO"),"NO"))</f>
        <v/>
      </c>
    </row>
    <row r="675" spans="12:14" x14ac:dyDescent="0.25">
      <c r="L675" t="str">
        <f t="shared" si="10"/>
        <v/>
      </c>
      <c r="N675" t="str">
        <f>IF(OR(C675="",D675=""),"",IFERROR(IF(_xludf.XLOOKUP(C675,'Master Calendar'!$A$2:$A$6,'Master Calendar'!$C$2:$C$6)=D675,"YES","NO"),"NO"))</f>
        <v/>
      </c>
    </row>
    <row r="676" spans="12:14" x14ac:dyDescent="0.25">
      <c r="L676" t="str">
        <f t="shared" si="10"/>
        <v/>
      </c>
      <c r="N676" t="str">
        <f>IF(OR(C676="",D676=""),"",IFERROR(IF(_xludf.XLOOKUP(C676,'Master Calendar'!$A$2:$A$6,'Master Calendar'!$C$2:$C$6)=D676,"YES","NO"),"NO"))</f>
        <v/>
      </c>
    </row>
    <row r="677" spans="12:14" x14ac:dyDescent="0.25">
      <c r="L677" t="str">
        <f t="shared" si="10"/>
        <v/>
      </c>
      <c r="N677" t="str">
        <f>IF(OR(C677="",D677=""),"",IFERROR(IF(_xludf.XLOOKUP(C677,'Master Calendar'!$A$2:$A$6,'Master Calendar'!$C$2:$C$6)=D677,"YES","NO"),"NO"))</f>
        <v/>
      </c>
    </row>
    <row r="678" spans="12:14" x14ac:dyDescent="0.25">
      <c r="L678" t="str">
        <f t="shared" si="10"/>
        <v/>
      </c>
      <c r="N678" t="str">
        <f>IF(OR(C678="",D678=""),"",IFERROR(IF(_xludf.XLOOKUP(C678,'Master Calendar'!$A$2:$A$6,'Master Calendar'!$C$2:$C$6)=D678,"YES","NO"),"NO"))</f>
        <v/>
      </c>
    </row>
    <row r="679" spans="12:14" x14ac:dyDescent="0.25">
      <c r="L679" t="str">
        <f t="shared" si="10"/>
        <v/>
      </c>
      <c r="N679" t="str">
        <f>IF(OR(C679="",D679=""),"",IFERROR(IF(_xludf.XLOOKUP(C679,'Master Calendar'!$A$2:$A$6,'Master Calendar'!$C$2:$C$6)=D679,"YES","NO"),"NO"))</f>
        <v/>
      </c>
    </row>
    <row r="680" spans="12:14" x14ac:dyDescent="0.25">
      <c r="L680" t="str">
        <f t="shared" si="10"/>
        <v/>
      </c>
      <c r="N680" t="str">
        <f>IF(OR(C680="",D680=""),"",IFERROR(IF(_xludf.XLOOKUP(C680,'Master Calendar'!$A$2:$A$6,'Master Calendar'!$C$2:$C$6)=D680,"YES","NO"),"NO"))</f>
        <v/>
      </c>
    </row>
    <row r="681" spans="12:14" x14ac:dyDescent="0.25">
      <c r="L681" t="str">
        <f t="shared" si="10"/>
        <v/>
      </c>
      <c r="N681" t="str">
        <f>IF(OR(C681="",D681=""),"",IFERROR(IF(_xludf.XLOOKUP(C681,'Master Calendar'!$A$2:$A$6,'Master Calendar'!$C$2:$C$6)=D681,"YES","NO"),"NO"))</f>
        <v/>
      </c>
    </row>
    <row r="682" spans="12:14" x14ac:dyDescent="0.25">
      <c r="L682" t="str">
        <f t="shared" si="10"/>
        <v/>
      </c>
      <c r="N682" t="str">
        <f>IF(OR(C682="",D682=""),"",IFERROR(IF(_xludf.XLOOKUP(C682,'Master Calendar'!$A$2:$A$6,'Master Calendar'!$C$2:$C$6)=D682,"YES","NO"),"NO"))</f>
        <v/>
      </c>
    </row>
    <row r="683" spans="12:14" x14ac:dyDescent="0.25">
      <c r="L683" t="str">
        <f t="shared" si="10"/>
        <v/>
      </c>
      <c r="N683" t="str">
        <f>IF(OR(C683="",D683=""),"",IFERROR(IF(_xludf.XLOOKUP(C683,'Master Calendar'!$A$2:$A$6,'Master Calendar'!$C$2:$C$6)=D683,"YES","NO"),"NO"))</f>
        <v/>
      </c>
    </row>
    <row r="684" spans="12:14" x14ac:dyDescent="0.25">
      <c r="L684" t="str">
        <f t="shared" si="10"/>
        <v/>
      </c>
      <c r="N684" t="str">
        <f>IF(OR(C684="",D684=""),"",IFERROR(IF(_xludf.XLOOKUP(C684,'Master Calendar'!$A$2:$A$6,'Master Calendar'!$C$2:$C$6)=D684,"YES","NO"),"NO"))</f>
        <v/>
      </c>
    </row>
    <row r="685" spans="12:14" x14ac:dyDescent="0.25">
      <c r="L685" t="str">
        <f t="shared" si="10"/>
        <v/>
      </c>
      <c r="N685" t="str">
        <f>IF(OR(C685="",D685=""),"",IFERROR(IF(_xludf.XLOOKUP(C685,'Master Calendar'!$A$2:$A$6,'Master Calendar'!$C$2:$C$6)=D685,"YES","NO"),"NO"))</f>
        <v/>
      </c>
    </row>
    <row r="686" spans="12:14" x14ac:dyDescent="0.25">
      <c r="L686" t="str">
        <f t="shared" si="10"/>
        <v/>
      </c>
      <c r="N686" t="str">
        <f>IF(OR(C686="",D686=""),"",IFERROR(IF(_xludf.XLOOKUP(C686,'Master Calendar'!$A$2:$A$6,'Master Calendar'!$C$2:$C$6)=D686,"YES","NO"),"NO"))</f>
        <v/>
      </c>
    </row>
    <row r="687" spans="12:14" x14ac:dyDescent="0.25">
      <c r="L687" t="str">
        <f t="shared" si="10"/>
        <v/>
      </c>
      <c r="N687" t="str">
        <f>IF(OR(C687="",D687=""),"",IFERROR(IF(_xludf.XLOOKUP(C687,'Master Calendar'!$A$2:$A$6,'Master Calendar'!$C$2:$C$6)=D687,"YES","NO"),"NO"))</f>
        <v/>
      </c>
    </row>
    <row r="688" spans="12:14" x14ac:dyDescent="0.25">
      <c r="L688" t="str">
        <f t="shared" si="10"/>
        <v/>
      </c>
      <c r="N688" t="str">
        <f>IF(OR(C688="",D688=""),"",IFERROR(IF(_xludf.XLOOKUP(C688,'Master Calendar'!$A$2:$A$6,'Master Calendar'!$C$2:$C$6)=D688,"YES","NO"),"NO"))</f>
        <v/>
      </c>
    </row>
    <row r="689" spans="12:14" x14ac:dyDescent="0.25">
      <c r="L689" t="str">
        <f t="shared" si="10"/>
        <v/>
      </c>
      <c r="N689" t="str">
        <f>IF(OR(C689="",D689=""),"",IFERROR(IF(_xludf.XLOOKUP(C689,'Master Calendar'!$A$2:$A$6,'Master Calendar'!$C$2:$C$6)=D689,"YES","NO"),"NO"))</f>
        <v/>
      </c>
    </row>
    <row r="690" spans="12:14" x14ac:dyDescent="0.25">
      <c r="L690" t="str">
        <f t="shared" si="10"/>
        <v/>
      </c>
      <c r="N690" t="str">
        <f>IF(OR(C690="",D690=""),"",IFERROR(IF(_xludf.XLOOKUP(C690,'Master Calendar'!$A$2:$A$6,'Master Calendar'!$C$2:$C$6)=D690,"YES","NO"),"NO"))</f>
        <v/>
      </c>
    </row>
    <row r="691" spans="12:14" x14ac:dyDescent="0.25">
      <c r="L691" t="str">
        <f t="shared" si="10"/>
        <v/>
      </c>
      <c r="N691" t="str">
        <f>IF(OR(C691="",D691=""),"",IFERROR(IF(_xludf.XLOOKUP(C691,'Master Calendar'!$A$2:$A$6,'Master Calendar'!$C$2:$C$6)=D691,"YES","NO"),"NO"))</f>
        <v/>
      </c>
    </row>
    <row r="692" spans="12:14" x14ac:dyDescent="0.25">
      <c r="L692" t="str">
        <f t="shared" si="10"/>
        <v/>
      </c>
      <c r="N692" t="str">
        <f>IF(OR(C692="",D692=""),"",IFERROR(IF(_xludf.XLOOKUP(C692,'Master Calendar'!$A$2:$A$6,'Master Calendar'!$C$2:$C$6)=D692,"YES","NO"),"NO"))</f>
        <v/>
      </c>
    </row>
    <row r="693" spans="12:14" x14ac:dyDescent="0.25">
      <c r="L693" t="str">
        <f t="shared" si="10"/>
        <v/>
      </c>
      <c r="N693" t="str">
        <f>IF(OR(C693="",D693=""),"",IFERROR(IF(_xludf.XLOOKUP(C693,'Master Calendar'!$A$2:$A$6,'Master Calendar'!$C$2:$C$6)=D693,"YES","NO"),"NO"))</f>
        <v/>
      </c>
    </row>
    <row r="694" spans="12:14" x14ac:dyDescent="0.25">
      <c r="L694" t="str">
        <f t="shared" si="10"/>
        <v/>
      </c>
      <c r="N694" t="str">
        <f>IF(OR(C694="",D694=""),"",IFERROR(IF(_xludf.XLOOKUP(C694,'Master Calendar'!$A$2:$A$6,'Master Calendar'!$C$2:$C$6)=D694,"YES","NO"),"NO"))</f>
        <v/>
      </c>
    </row>
    <row r="695" spans="12:14" x14ac:dyDescent="0.25">
      <c r="L695" t="str">
        <f t="shared" si="10"/>
        <v/>
      </c>
      <c r="N695" t="str">
        <f>IF(OR(C695="",D695=""),"",IFERROR(IF(_xludf.XLOOKUP(C695,'Master Calendar'!$A$2:$A$6,'Master Calendar'!$C$2:$C$6)=D695,"YES","NO"),"NO"))</f>
        <v/>
      </c>
    </row>
    <row r="696" spans="12:14" x14ac:dyDescent="0.25">
      <c r="L696" t="str">
        <f t="shared" si="10"/>
        <v/>
      </c>
      <c r="N696" t="str">
        <f>IF(OR(C696="",D696=""),"",IFERROR(IF(_xludf.XLOOKUP(C696,'Master Calendar'!$A$2:$A$6,'Master Calendar'!$C$2:$C$6)=D696,"YES","NO"),"NO"))</f>
        <v/>
      </c>
    </row>
    <row r="697" spans="12:14" x14ac:dyDescent="0.25">
      <c r="L697" t="str">
        <f t="shared" si="10"/>
        <v/>
      </c>
      <c r="N697" t="str">
        <f>IF(OR(C697="",D697=""),"",IFERROR(IF(_xludf.XLOOKUP(C697,'Master Calendar'!$A$2:$A$6,'Master Calendar'!$C$2:$C$6)=D697,"YES","NO"),"NO"))</f>
        <v/>
      </c>
    </row>
    <row r="698" spans="12:14" x14ac:dyDescent="0.25">
      <c r="L698" t="str">
        <f t="shared" si="10"/>
        <v/>
      </c>
      <c r="N698" t="str">
        <f>IF(OR(C698="",D698=""),"",IFERROR(IF(_xludf.XLOOKUP(C698,'Master Calendar'!$A$2:$A$6,'Master Calendar'!$C$2:$C$6)=D698,"YES","NO"),"NO"))</f>
        <v/>
      </c>
    </row>
    <row r="699" spans="12:14" x14ac:dyDescent="0.25">
      <c r="L699" t="str">
        <f t="shared" si="10"/>
        <v/>
      </c>
      <c r="N699" t="str">
        <f>IF(OR(C699="",D699=""),"",IFERROR(IF(_xludf.XLOOKUP(C699,'Master Calendar'!$A$2:$A$6,'Master Calendar'!$C$2:$C$6)=D699,"YES","NO"),"NO"))</f>
        <v/>
      </c>
    </row>
    <row r="700" spans="12:14" x14ac:dyDescent="0.25">
      <c r="L700" t="str">
        <f t="shared" si="10"/>
        <v/>
      </c>
      <c r="N700" t="str">
        <f>IF(OR(C700="",D700=""),"",IFERROR(IF(_xludf.XLOOKUP(C700,'Master Calendar'!$A$2:$A$6,'Master Calendar'!$C$2:$C$6)=D700,"YES","NO"),"NO"))</f>
        <v/>
      </c>
    </row>
    <row r="701" spans="12:14" x14ac:dyDescent="0.25">
      <c r="L701" t="str">
        <f t="shared" si="10"/>
        <v/>
      </c>
      <c r="N701" t="str">
        <f>IF(OR(C701="",D701=""),"",IFERROR(IF(_xludf.XLOOKUP(C701,'Master Calendar'!$A$2:$A$6,'Master Calendar'!$C$2:$C$6)=D701,"YES","NO"),"NO"))</f>
        <v/>
      </c>
    </row>
  </sheetData>
  <conditionalFormatting sqref="N2:N701">
    <cfRule type="expression" dxfId="1" priority="1">
      <formula>N2="NO"</formula>
    </cfRule>
    <cfRule type="expression" dxfId="0" priority="2">
      <formula>N2="YES"</formula>
    </cfRule>
  </conditionalFormatting>
  <dataValidations count="2">
    <dataValidation type="whole" allowBlank="1" error="Enter a score from 1 to 5." sqref="K2:K701" xr:uid="{00000000-0002-0000-0500-000000000000}">
      <formula1>1</formula1>
      <formula2>5</formula2>
    </dataValidation>
    <dataValidation type="date" allowBlank="1" error="Select a scheduled evaluation date." sqref="C2:C701" xr:uid="{00000000-0002-0000-0500-000001000000}">
      <formula1>DATE(2026,9,7)</formula1>
      <formula2>DATE(2026,9,11)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showGridLines="0" tabSelected="1" workbookViewId="0">
      <pane ySplit="14" topLeftCell="A18" activePane="bottomLeft" state="frozen"/>
      <selection pane="bottomLeft" sqref="A1:G1"/>
    </sheetView>
  </sheetViews>
  <sheetFormatPr defaultRowHeight="15" x14ac:dyDescent="0.25"/>
  <cols>
    <col min="1" max="1" width="6" customWidth="1"/>
    <col min="2" max="2" width="46" customWidth="1"/>
    <col min="3" max="3" width="12" customWidth="1"/>
    <col min="4" max="4" width="14" customWidth="1"/>
    <col min="5" max="5" width="18" customWidth="1"/>
    <col min="6" max="6" width="55" customWidth="1"/>
    <col min="7" max="7" width="90" customWidth="1"/>
  </cols>
  <sheetData>
    <row r="1" spans="1:7" ht="21" x14ac:dyDescent="0.35">
      <c r="A1" s="11" t="s">
        <v>171</v>
      </c>
      <c r="B1" s="9"/>
      <c r="C1" s="9"/>
      <c r="D1" s="9"/>
      <c r="E1" s="9"/>
      <c r="F1" s="9"/>
      <c r="G1" s="9"/>
    </row>
    <row r="3" spans="1:7" x14ac:dyDescent="0.25">
      <c r="A3" s="6" t="s">
        <v>165</v>
      </c>
      <c r="B3" t="s">
        <v>172</v>
      </c>
    </row>
    <row r="4" spans="1:7" x14ac:dyDescent="0.25">
      <c r="A4" s="6" t="s">
        <v>60</v>
      </c>
    </row>
    <row r="5" spans="1:7" x14ac:dyDescent="0.25">
      <c r="A5" s="6" t="s">
        <v>173</v>
      </c>
      <c r="B5" t="str">
        <f ca="1">IFERROR(_xludf.XLOOKUP(B4,'Master Calendar'!$A$2:$A$6,'Master Calendar'!$C$2:$C$6),"BLOCKED / NO DEMO SCHEDULED")</f>
        <v>BLOCKED / NO DEMO SCHEDULED</v>
      </c>
    </row>
    <row r="6" spans="1:7" x14ac:dyDescent="0.25">
      <c r="A6" s="6" t="s">
        <v>33</v>
      </c>
    </row>
    <row r="7" spans="1:7" x14ac:dyDescent="0.25">
      <c r="A7" s="6" t="s">
        <v>174</v>
      </c>
      <c r="B7" t="str">
        <f ca="1">IFERROR(_xludf.XLOOKUP(B6,'Evaluator Master'!$A$2:$A$21,'Evaluator Master'!$B$2:$B$21),"")</f>
        <v/>
      </c>
    </row>
    <row r="8" spans="1:7" x14ac:dyDescent="0.25">
      <c r="A8" s="6" t="s">
        <v>175</v>
      </c>
      <c r="B8" t="str">
        <f ca="1">IFERROR(_xludf.XLOOKUP(B6,'Evaluator Master'!$A$2:$A$21,'Evaluator Master'!$C$2:$C$21),"")</f>
        <v/>
      </c>
    </row>
    <row r="9" spans="1:7" x14ac:dyDescent="0.25">
      <c r="A9" s="6" t="s">
        <v>176</v>
      </c>
      <c r="B9" t="s">
        <v>2</v>
      </c>
    </row>
    <row r="10" spans="1:7" x14ac:dyDescent="0.25">
      <c r="A10" s="6" t="s">
        <v>177</v>
      </c>
      <c r="B10">
        <v>15</v>
      </c>
    </row>
    <row r="11" spans="1:7" x14ac:dyDescent="0.25">
      <c r="A11" s="6" t="s">
        <v>178</v>
      </c>
      <c r="B11" t="str">
        <f ca="1">IF(OR(B4="",B6="",B5="BLOCKED / NO DEMO SCHEDULED"),"INCOMPLETE / BLOCKED","READY")</f>
        <v>INCOMPLETE / BLOCKED</v>
      </c>
    </row>
    <row r="14" spans="1:7" x14ac:dyDescent="0.25">
      <c r="A14" s="1" t="s">
        <v>179</v>
      </c>
      <c r="B14" s="1" t="s">
        <v>70</v>
      </c>
      <c r="C14" s="1" t="s">
        <v>71</v>
      </c>
      <c r="D14" s="1" t="s">
        <v>167</v>
      </c>
      <c r="E14" s="1" t="s">
        <v>168</v>
      </c>
      <c r="F14" s="1" t="s">
        <v>169</v>
      </c>
      <c r="G14" s="1" t="s">
        <v>72</v>
      </c>
    </row>
    <row r="15" spans="1:7" ht="30" x14ac:dyDescent="0.25">
      <c r="A15" s="7">
        <v>1</v>
      </c>
      <c r="B15" s="7" t="s">
        <v>73</v>
      </c>
      <c r="C15" s="7">
        <v>15</v>
      </c>
      <c r="D15" s="7"/>
      <c r="E15" s="7" t="str">
        <f t="shared" ref="E15:E21" si="0">IF(OR(C15="",D15=""),"",C15*D15/100)</f>
        <v/>
      </c>
      <c r="F15" s="7"/>
      <c r="G15" s="7" t="s">
        <v>74</v>
      </c>
    </row>
    <row r="16" spans="1:7" ht="30" x14ac:dyDescent="0.25">
      <c r="A16" s="7">
        <v>2</v>
      </c>
      <c r="B16" s="7" t="s">
        <v>75</v>
      </c>
      <c r="C16" s="7">
        <v>15</v>
      </c>
      <c r="D16" s="7"/>
      <c r="E16" s="7" t="str">
        <f t="shared" si="0"/>
        <v/>
      </c>
      <c r="F16" s="7"/>
      <c r="G16" s="7" t="s">
        <v>76</v>
      </c>
    </row>
    <row r="17" spans="1:7" ht="30" x14ac:dyDescent="0.25">
      <c r="A17" s="7">
        <v>3</v>
      </c>
      <c r="B17" s="7" t="s">
        <v>77</v>
      </c>
      <c r="C17" s="7">
        <v>14</v>
      </c>
      <c r="D17" s="7"/>
      <c r="E17" s="7" t="str">
        <f t="shared" si="0"/>
        <v/>
      </c>
      <c r="F17" s="7"/>
      <c r="G17" s="7" t="s">
        <v>78</v>
      </c>
    </row>
    <row r="18" spans="1:7" ht="30" x14ac:dyDescent="0.25">
      <c r="A18" s="7">
        <v>4</v>
      </c>
      <c r="B18" s="7" t="s">
        <v>79</v>
      </c>
      <c r="C18" s="7">
        <v>14</v>
      </c>
      <c r="D18" s="7"/>
      <c r="E18" s="7" t="str">
        <f t="shared" si="0"/>
        <v/>
      </c>
      <c r="F18" s="7"/>
      <c r="G18" s="7" t="s">
        <v>80</v>
      </c>
    </row>
    <row r="19" spans="1:7" ht="30" x14ac:dyDescent="0.25">
      <c r="A19" s="7">
        <v>5</v>
      </c>
      <c r="B19" s="7" t="s">
        <v>81</v>
      </c>
      <c r="C19" s="7">
        <v>14</v>
      </c>
      <c r="D19" s="7"/>
      <c r="E19" s="7" t="str">
        <f t="shared" si="0"/>
        <v/>
      </c>
      <c r="F19" s="7"/>
      <c r="G19" s="7" t="s">
        <v>82</v>
      </c>
    </row>
    <row r="20" spans="1:7" x14ac:dyDescent="0.25">
      <c r="A20" s="7">
        <v>6</v>
      </c>
      <c r="B20" s="7" t="s">
        <v>83</v>
      </c>
      <c r="C20" s="7">
        <v>14</v>
      </c>
      <c r="D20" s="7"/>
      <c r="E20" s="7" t="str">
        <f t="shared" si="0"/>
        <v/>
      </c>
      <c r="F20" s="7"/>
      <c r="G20" s="7" t="s">
        <v>84</v>
      </c>
    </row>
    <row r="21" spans="1:7" ht="30" x14ac:dyDescent="0.25">
      <c r="A21" s="7">
        <v>7</v>
      </c>
      <c r="B21" s="7" t="s">
        <v>85</v>
      </c>
      <c r="C21" s="7">
        <v>14</v>
      </c>
      <c r="D21" s="7"/>
      <c r="E21" s="7" t="str">
        <f t="shared" si="0"/>
        <v/>
      </c>
      <c r="F21" s="7"/>
      <c r="G21" s="7" t="s">
        <v>86</v>
      </c>
    </row>
    <row r="22" spans="1:7" x14ac:dyDescent="0.25">
      <c r="B22" s="8" t="s">
        <v>180</v>
      </c>
      <c r="C22">
        <f>SUM(C15:C21)</f>
        <v>100</v>
      </c>
      <c r="D22" s="8" t="str">
        <f>IF(COUNT(D15:D21)=7,SUM(E15:E21),"")</f>
        <v/>
      </c>
    </row>
    <row r="24" spans="1:7" x14ac:dyDescent="0.25">
      <c r="A24" t="s">
        <v>181</v>
      </c>
      <c r="B24" s="9" t="s">
        <v>182</v>
      </c>
      <c r="C24" s="9"/>
      <c r="D24" s="9"/>
      <c r="E24" s="9"/>
      <c r="F24" s="9"/>
      <c r="G24" s="9"/>
    </row>
    <row r="25" spans="1:7" x14ac:dyDescent="0.25">
      <c r="B25" s="9"/>
      <c r="C25" s="9"/>
      <c r="D25" s="9"/>
      <c r="E25" s="9"/>
      <c r="F25" s="9"/>
      <c r="G25" s="9"/>
    </row>
  </sheetData>
  <mergeCells count="2">
    <mergeCell ref="B24:G25"/>
    <mergeCell ref="A1:G1"/>
  </mergeCells>
  <conditionalFormatting sqref="D15:D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n integer from 1 to 5." sqref="D15:D21" xr:uid="{00000000-0002-0000-0600-000002000000}">
      <formula1>1</formula1>
      <formula2>5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'Evaluator Master'!$A$2:$A$21</xm:f>
          </x14:formula1>
          <xm:sqref>B6</xm:sqref>
        </x14:dataValidation>
        <x14:dataValidation type="list" xr:uid="{00000000-0002-0000-0600-000001000000}">
          <x14:formula1>
            <xm:f>'Master Calendar'!$A$2:$A$6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showGridLines="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" customWidth="1"/>
    <col min="2" max="2" width="46" customWidth="1"/>
    <col min="3" max="3" width="12" customWidth="1"/>
    <col min="4" max="4" width="14" customWidth="1"/>
    <col min="5" max="5" width="18" customWidth="1"/>
    <col min="6" max="6" width="55" customWidth="1"/>
    <col min="7" max="7" width="90" customWidth="1"/>
  </cols>
  <sheetData>
    <row r="1" spans="1:7" ht="21" x14ac:dyDescent="0.35">
      <c r="A1" s="11" t="s">
        <v>183</v>
      </c>
      <c r="B1" s="9"/>
      <c r="C1" s="9"/>
      <c r="D1" s="9"/>
      <c r="E1" s="9"/>
      <c r="F1" s="9"/>
      <c r="G1" s="9"/>
    </row>
    <row r="3" spans="1:7" x14ac:dyDescent="0.25">
      <c r="A3" s="6" t="s">
        <v>165</v>
      </c>
      <c r="B3" t="s">
        <v>172</v>
      </c>
    </row>
    <row r="4" spans="1:7" x14ac:dyDescent="0.25">
      <c r="A4" s="6" t="s">
        <v>60</v>
      </c>
    </row>
    <row r="5" spans="1:7" x14ac:dyDescent="0.25">
      <c r="A5" s="6" t="s">
        <v>173</v>
      </c>
      <c r="B5" t="str">
        <f ca="1">IFERROR(_xludf.XLOOKUP(B4,'Master Calendar'!$A$2:$A$6,'Master Calendar'!$C$2:$C$6),"BLOCKED / NO DEMO SCHEDULED")</f>
        <v>BLOCKED / NO DEMO SCHEDULED</v>
      </c>
    </row>
    <row r="6" spans="1:7" x14ac:dyDescent="0.25">
      <c r="A6" s="6" t="s">
        <v>33</v>
      </c>
    </row>
    <row r="7" spans="1:7" x14ac:dyDescent="0.25">
      <c r="A7" s="6" t="s">
        <v>174</v>
      </c>
      <c r="B7" t="str">
        <f ca="1">IFERROR(_xludf.XLOOKUP(B6,'Evaluator Master'!$A$2:$A$21,'Evaluator Master'!$B$2:$B$21),"")</f>
        <v/>
      </c>
    </row>
    <row r="8" spans="1:7" x14ac:dyDescent="0.25">
      <c r="A8" s="6" t="s">
        <v>175</v>
      </c>
      <c r="B8" t="str">
        <f ca="1">IFERROR(_xludf.XLOOKUP(B6,'Evaluator Master'!$A$2:$A$21,'Evaluator Master'!$C$2:$C$21),"")</f>
        <v/>
      </c>
    </row>
    <row r="9" spans="1:7" x14ac:dyDescent="0.25">
      <c r="A9" s="6" t="s">
        <v>176</v>
      </c>
      <c r="B9" t="s">
        <v>3</v>
      </c>
    </row>
    <row r="10" spans="1:7" x14ac:dyDescent="0.25">
      <c r="A10" s="6" t="s">
        <v>177</v>
      </c>
      <c r="B10">
        <v>15</v>
      </c>
    </row>
    <row r="11" spans="1:7" x14ac:dyDescent="0.25">
      <c r="A11" s="6" t="s">
        <v>178</v>
      </c>
      <c r="B11" t="str">
        <f ca="1">IF(OR(B4="",B6="",B5="BLOCKED / NO DEMO SCHEDULED"),"INCOMPLETE / BLOCKED","READY")</f>
        <v>INCOMPLETE / BLOCKED</v>
      </c>
    </row>
    <row r="14" spans="1:7" x14ac:dyDescent="0.25">
      <c r="A14" s="1" t="s">
        <v>179</v>
      </c>
      <c r="B14" s="1" t="s">
        <v>70</v>
      </c>
      <c r="C14" s="1" t="s">
        <v>71</v>
      </c>
      <c r="D14" s="1" t="s">
        <v>167</v>
      </c>
      <c r="E14" s="1" t="s">
        <v>168</v>
      </c>
      <c r="F14" s="1" t="s">
        <v>169</v>
      </c>
      <c r="G14" s="1" t="s">
        <v>72</v>
      </c>
    </row>
    <row r="15" spans="1:7" ht="30" x14ac:dyDescent="0.25">
      <c r="A15" s="7">
        <v>1</v>
      </c>
      <c r="B15" s="7" t="s">
        <v>87</v>
      </c>
      <c r="C15" s="7">
        <v>20</v>
      </c>
      <c r="D15" s="7"/>
      <c r="E15" s="7" t="str">
        <f>IF(OR(C15="",D15=""),"",C15*D15/100)</f>
        <v/>
      </c>
      <c r="F15" s="7"/>
      <c r="G15" s="7" t="s">
        <v>88</v>
      </c>
    </row>
    <row r="16" spans="1:7" ht="30" x14ac:dyDescent="0.25">
      <c r="A16" s="7">
        <v>2</v>
      </c>
      <c r="B16" s="7" t="s">
        <v>89</v>
      </c>
      <c r="C16" s="7">
        <v>20</v>
      </c>
      <c r="D16" s="7"/>
      <c r="E16" s="7" t="str">
        <f>IF(OR(C16="",D16=""),"",C16*D16/100)</f>
        <v/>
      </c>
      <c r="F16" s="7"/>
      <c r="G16" s="7" t="s">
        <v>90</v>
      </c>
    </row>
    <row r="17" spans="1:7" ht="30" x14ac:dyDescent="0.25">
      <c r="A17" s="7">
        <v>3</v>
      </c>
      <c r="B17" s="7" t="s">
        <v>91</v>
      </c>
      <c r="C17" s="7">
        <v>20</v>
      </c>
      <c r="D17" s="7"/>
      <c r="E17" s="7" t="str">
        <f>IF(OR(C17="",D17=""),"",C17*D17/100)</f>
        <v/>
      </c>
      <c r="F17" s="7"/>
      <c r="G17" s="7" t="s">
        <v>92</v>
      </c>
    </row>
    <row r="18" spans="1:7" ht="30" x14ac:dyDescent="0.25">
      <c r="A18" s="7">
        <v>4</v>
      </c>
      <c r="B18" s="7" t="s">
        <v>93</v>
      </c>
      <c r="C18" s="7">
        <v>20</v>
      </c>
      <c r="D18" s="7"/>
      <c r="E18" s="7" t="str">
        <f>IF(OR(C18="",D18=""),"",C18*D18/100)</f>
        <v/>
      </c>
      <c r="F18" s="7"/>
      <c r="G18" s="7" t="s">
        <v>94</v>
      </c>
    </row>
    <row r="19" spans="1:7" ht="30" x14ac:dyDescent="0.25">
      <c r="A19" s="7">
        <v>5</v>
      </c>
      <c r="B19" s="7" t="s">
        <v>95</v>
      </c>
      <c r="C19" s="7">
        <v>20</v>
      </c>
      <c r="D19" s="7"/>
      <c r="E19" s="7" t="str">
        <f>IF(OR(C19="",D19=""),"",C19*D19/100)</f>
        <v/>
      </c>
      <c r="F19" s="7"/>
      <c r="G19" s="7" t="s">
        <v>96</v>
      </c>
    </row>
    <row r="20" spans="1:7" x14ac:dyDescent="0.25">
      <c r="B20" s="8" t="s">
        <v>180</v>
      </c>
      <c r="C20">
        <f>SUM(C15:C19)</f>
        <v>100</v>
      </c>
      <c r="D20" s="8" t="str">
        <f>IF(COUNT(D15:D19)=5,SUM(E15:E19),"")</f>
        <v/>
      </c>
    </row>
    <row r="22" spans="1:7" x14ac:dyDescent="0.25">
      <c r="A22" t="s">
        <v>181</v>
      </c>
      <c r="B22" s="9" t="s">
        <v>182</v>
      </c>
      <c r="C22" s="9"/>
      <c r="D22" s="9"/>
      <c r="E22" s="9"/>
      <c r="F22" s="9"/>
      <c r="G22" s="9"/>
    </row>
    <row r="23" spans="1:7" x14ac:dyDescent="0.25">
      <c r="B23" s="9"/>
      <c r="C23" s="9"/>
      <c r="D23" s="9"/>
      <c r="E23" s="9"/>
      <c r="F23" s="9"/>
      <c r="G23" s="9"/>
    </row>
  </sheetData>
  <mergeCells count="2">
    <mergeCell ref="B22:G23"/>
    <mergeCell ref="A1:G1"/>
  </mergeCells>
  <conditionalFormatting sqref="D15:D19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n integer from 1 to 5." sqref="D15:D19" xr:uid="{00000000-0002-0000-0700-000002000000}">
      <formula1>1</formula1>
      <formula2>5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'Evaluator Master'!$A$2:$A$21</xm:f>
          </x14:formula1>
          <xm:sqref>B6</xm:sqref>
        </x14:dataValidation>
        <x14:dataValidation type="list" xr:uid="{00000000-0002-0000-0700-000001000000}">
          <x14:formula1>
            <xm:f>'Master Calendar'!$A$2:$A$6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showGridLines="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" customWidth="1"/>
    <col min="2" max="2" width="46" customWidth="1"/>
    <col min="3" max="3" width="12" customWidth="1"/>
    <col min="4" max="4" width="14" customWidth="1"/>
    <col min="5" max="5" width="18" customWidth="1"/>
    <col min="6" max="6" width="55" customWidth="1"/>
    <col min="7" max="7" width="90" customWidth="1"/>
  </cols>
  <sheetData>
    <row r="1" spans="1:7" ht="21" x14ac:dyDescent="0.35">
      <c r="A1" s="11" t="s">
        <v>184</v>
      </c>
      <c r="B1" s="9"/>
      <c r="C1" s="9"/>
      <c r="D1" s="9"/>
      <c r="E1" s="9"/>
      <c r="F1" s="9"/>
      <c r="G1" s="9"/>
    </row>
    <row r="3" spans="1:7" x14ac:dyDescent="0.25">
      <c r="A3" s="6" t="s">
        <v>165</v>
      </c>
      <c r="B3" t="s">
        <v>172</v>
      </c>
    </row>
    <row r="4" spans="1:7" x14ac:dyDescent="0.25">
      <c r="A4" s="6" t="s">
        <v>60</v>
      </c>
    </row>
    <row r="5" spans="1:7" x14ac:dyDescent="0.25">
      <c r="A5" s="6" t="s">
        <v>173</v>
      </c>
      <c r="B5" t="str">
        <f ca="1">IFERROR(_xludf.XLOOKUP(B4,'Master Calendar'!$A$2:$A$6,'Master Calendar'!$C$2:$C$6),"BLOCKED / NO DEMO SCHEDULED")</f>
        <v>BLOCKED / NO DEMO SCHEDULED</v>
      </c>
    </row>
    <row r="6" spans="1:7" x14ac:dyDescent="0.25">
      <c r="A6" s="6" t="s">
        <v>33</v>
      </c>
    </row>
    <row r="7" spans="1:7" x14ac:dyDescent="0.25">
      <c r="A7" s="6" t="s">
        <v>174</v>
      </c>
      <c r="B7" t="str">
        <f ca="1">IFERROR(_xludf.XLOOKUP(B6,'Evaluator Master'!$A$2:$A$21,'Evaluator Master'!$B$2:$B$21),"")</f>
        <v/>
      </c>
    </row>
    <row r="8" spans="1:7" x14ac:dyDescent="0.25">
      <c r="A8" s="6" t="s">
        <v>175</v>
      </c>
      <c r="B8" t="str">
        <f ca="1">IFERROR(_xludf.XLOOKUP(B6,'Evaluator Master'!$A$2:$A$21,'Evaluator Master'!$C$2:$C$21),"")</f>
        <v/>
      </c>
    </row>
    <row r="9" spans="1:7" x14ac:dyDescent="0.25">
      <c r="A9" s="6" t="s">
        <v>176</v>
      </c>
      <c r="B9" t="s">
        <v>4</v>
      </c>
    </row>
    <row r="10" spans="1:7" x14ac:dyDescent="0.25">
      <c r="A10" s="6" t="s">
        <v>177</v>
      </c>
      <c r="B10">
        <v>15</v>
      </c>
    </row>
    <row r="11" spans="1:7" x14ac:dyDescent="0.25">
      <c r="A11" s="6" t="s">
        <v>178</v>
      </c>
      <c r="B11" t="str">
        <f ca="1">IF(OR(B4="",B6="",B5="BLOCKED / NO DEMO SCHEDULED"),"INCOMPLETE / BLOCKED","READY")</f>
        <v>INCOMPLETE / BLOCKED</v>
      </c>
    </row>
    <row r="14" spans="1:7" x14ac:dyDescent="0.25">
      <c r="A14" s="1" t="s">
        <v>179</v>
      </c>
      <c r="B14" s="1" t="s">
        <v>70</v>
      </c>
      <c r="C14" s="1" t="s">
        <v>71</v>
      </c>
      <c r="D14" s="1" t="s">
        <v>167</v>
      </c>
      <c r="E14" s="1" t="s">
        <v>168</v>
      </c>
      <c r="F14" s="1" t="s">
        <v>169</v>
      </c>
      <c r="G14" s="1" t="s">
        <v>72</v>
      </c>
    </row>
    <row r="15" spans="1:7" x14ac:dyDescent="0.25">
      <c r="A15" s="7">
        <v>1</v>
      </c>
      <c r="B15" s="7" t="s">
        <v>73</v>
      </c>
      <c r="C15" s="7">
        <v>20</v>
      </c>
      <c r="D15" s="7"/>
      <c r="E15" s="7" t="str">
        <f t="shared" ref="E15:E20" si="0">IF(OR(C15="",D15=""),"",C15*D15/100)</f>
        <v/>
      </c>
      <c r="F15" s="7"/>
      <c r="G15" s="7" t="s">
        <v>97</v>
      </c>
    </row>
    <row r="16" spans="1:7" x14ac:dyDescent="0.25">
      <c r="A16" s="7">
        <v>2</v>
      </c>
      <c r="B16" s="7" t="s">
        <v>98</v>
      </c>
      <c r="C16" s="7">
        <v>20</v>
      </c>
      <c r="D16" s="7"/>
      <c r="E16" s="7" t="str">
        <f t="shared" si="0"/>
        <v/>
      </c>
      <c r="F16" s="7"/>
      <c r="G16" s="7" t="s">
        <v>99</v>
      </c>
    </row>
    <row r="17" spans="1:7" ht="30" x14ac:dyDescent="0.25">
      <c r="A17" s="7">
        <v>3</v>
      </c>
      <c r="B17" s="7" t="s">
        <v>79</v>
      </c>
      <c r="C17" s="7">
        <v>10</v>
      </c>
      <c r="D17" s="7"/>
      <c r="E17" s="7" t="str">
        <f t="shared" si="0"/>
        <v/>
      </c>
      <c r="F17" s="7"/>
      <c r="G17" s="7" t="s">
        <v>100</v>
      </c>
    </row>
    <row r="18" spans="1:7" x14ac:dyDescent="0.25">
      <c r="A18" s="7">
        <v>4</v>
      </c>
      <c r="B18" s="7" t="s">
        <v>101</v>
      </c>
      <c r="C18" s="7">
        <v>20</v>
      </c>
      <c r="D18" s="7"/>
      <c r="E18" s="7" t="str">
        <f t="shared" si="0"/>
        <v/>
      </c>
      <c r="F18" s="7"/>
      <c r="G18" s="7" t="s">
        <v>102</v>
      </c>
    </row>
    <row r="19" spans="1:7" ht="30" x14ac:dyDescent="0.25">
      <c r="A19" s="7">
        <v>5</v>
      </c>
      <c r="B19" s="7" t="s">
        <v>103</v>
      </c>
      <c r="C19" s="7">
        <v>10</v>
      </c>
      <c r="D19" s="7"/>
      <c r="E19" s="7" t="str">
        <f t="shared" si="0"/>
        <v/>
      </c>
      <c r="F19" s="7"/>
      <c r="G19" s="7" t="s">
        <v>104</v>
      </c>
    </row>
    <row r="20" spans="1:7" ht="30" x14ac:dyDescent="0.25">
      <c r="A20" s="7">
        <v>6</v>
      </c>
      <c r="B20" s="7" t="s">
        <v>105</v>
      </c>
      <c r="C20" s="7">
        <v>20</v>
      </c>
      <c r="D20" s="7"/>
      <c r="E20" s="7" t="str">
        <f t="shared" si="0"/>
        <v/>
      </c>
      <c r="F20" s="7"/>
      <c r="G20" s="7" t="s">
        <v>106</v>
      </c>
    </row>
    <row r="21" spans="1:7" x14ac:dyDescent="0.25">
      <c r="B21" s="8" t="s">
        <v>180</v>
      </c>
      <c r="C21">
        <f>SUM(C15:C20)</f>
        <v>100</v>
      </c>
      <c r="D21" s="8" t="str">
        <f>IF(COUNT(D15:D20)=6,SUM(E15:E20),"")</f>
        <v/>
      </c>
    </row>
    <row r="23" spans="1:7" x14ac:dyDescent="0.25">
      <c r="A23" t="s">
        <v>181</v>
      </c>
      <c r="B23" s="9" t="s">
        <v>182</v>
      </c>
      <c r="C23" s="9"/>
      <c r="D23" s="9"/>
      <c r="E23" s="9"/>
      <c r="F23" s="9"/>
      <c r="G23" s="9"/>
    </row>
    <row r="24" spans="1:7" x14ac:dyDescent="0.25">
      <c r="B24" s="9"/>
      <c r="C24" s="9"/>
      <c r="D24" s="9"/>
      <c r="E24" s="9"/>
      <c r="F24" s="9"/>
      <c r="G24" s="9"/>
    </row>
  </sheetData>
  <mergeCells count="2">
    <mergeCell ref="B23:G24"/>
    <mergeCell ref="A1:G1"/>
  </mergeCells>
  <conditionalFormatting sqref="D15:D20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n integer from 1 to 5." sqref="D15:D20" xr:uid="{00000000-0002-0000-0800-000002000000}">
      <formula1>1</formula1>
      <formula2>5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'Evaluator Master'!$A$2:$A$21</xm:f>
          </x14:formula1>
          <xm:sqref>B6</xm:sqref>
        </x14:dataValidation>
        <x14:dataValidation type="list" xr:uid="{00000000-0002-0000-0800-000001000000}">
          <x14:formula1>
            <xm:f>'Master Calendar'!$A$2:$A$6</xm:f>
          </x14:formula1>
          <xm:sqref>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showGridLines="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" customWidth="1"/>
    <col min="2" max="2" width="46" customWidth="1"/>
    <col min="3" max="3" width="12" customWidth="1"/>
    <col min="4" max="4" width="14" customWidth="1"/>
    <col min="5" max="5" width="18" customWidth="1"/>
    <col min="6" max="6" width="55" customWidth="1"/>
    <col min="7" max="7" width="90" customWidth="1"/>
  </cols>
  <sheetData>
    <row r="1" spans="1:7" ht="21" x14ac:dyDescent="0.35">
      <c r="A1" s="11" t="s">
        <v>185</v>
      </c>
      <c r="B1" s="9"/>
      <c r="C1" s="9"/>
      <c r="D1" s="9"/>
      <c r="E1" s="9"/>
      <c r="F1" s="9"/>
      <c r="G1" s="9"/>
    </row>
    <row r="3" spans="1:7" x14ac:dyDescent="0.25">
      <c r="A3" s="6" t="s">
        <v>165</v>
      </c>
      <c r="B3" t="s">
        <v>172</v>
      </c>
    </row>
    <row r="4" spans="1:7" x14ac:dyDescent="0.25">
      <c r="A4" s="6" t="s">
        <v>60</v>
      </c>
    </row>
    <row r="5" spans="1:7" x14ac:dyDescent="0.25">
      <c r="A5" s="6" t="s">
        <v>173</v>
      </c>
      <c r="B5" t="str">
        <f ca="1">IFERROR(_xludf.XLOOKUP(B4,'Master Calendar'!$A$2:$A$6,'Master Calendar'!$C$2:$C$6),"BLOCKED / NO DEMO SCHEDULED")</f>
        <v>BLOCKED / NO DEMO SCHEDULED</v>
      </c>
    </row>
    <row r="6" spans="1:7" x14ac:dyDescent="0.25">
      <c r="A6" s="6" t="s">
        <v>33</v>
      </c>
    </row>
    <row r="7" spans="1:7" x14ac:dyDescent="0.25">
      <c r="A7" s="6" t="s">
        <v>174</v>
      </c>
      <c r="B7" t="str">
        <f ca="1">IFERROR(_xludf.XLOOKUP(B6,'Evaluator Master'!$A$2:$A$21,'Evaluator Master'!$B$2:$B$21),"")</f>
        <v/>
      </c>
    </row>
    <row r="8" spans="1:7" x14ac:dyDescent="0.25">
      <c r="A8" s="6" t="s">
        <v>175</v>
      </c>
      <c r="B8" t="str">
        <f ca="1">IFERROR(_xludf.XLOOKUP(B6,'Evaluator Master'!$A$2:$A$21,'Evaluator Master'!$C$2:$C$21),"")</f>
        <v/>
      </c>
    </row>
    <row r="9" spans="1:7" x14ac:dyDescent="0.25">
      <c r="A9" s="6" t="s">
        <v>176</v>
      </c>
      <c r="B9" t="s">
        <v>5</v>
      </c>
    </row>
    <row r="10" spans="1:7" x14ac:dyDescent="0.25">
      <c r="A10" s="6" t="s">
        <v>177</v>
      </c>
      <c r="B10">
        <v>15</v>
      </c>
    </row>
    <row r="11" spans="1:7" x14ac:dyDescent="0.25">
      <c r="A11" s="6" t="s">
        <v>178</v>
      </c>
      <c r="B11" t="str">
        <f ca="1">IF(OR(B4="",B6="",B5="BLOCKED / NO DEMO SCHEDULED"),"INCOMPLETE / BLOCKED","READY")</f>
        <v>INCOMPLETE / BLOCKED</v>
      </c>
    </row>
    <row r="14" spans="1:7" x14ac:dyDescent="0.25">
      <c r="A14" s="1" t="s">
        <v>179</v>
      </c>
      <c r="B14" s="1" t="s">
        <v>70</v>
      </c>
      <c r="C14" s="1" t="s">
        <v>71</v>
      </c>
      <c r="D14" s="1" t="s">
        <v>167</v>
      </c>
      <c r="E14" s="1" t="s">
        <v>168</v>
      </c>
      <c r="F14" s="1" t="s">
        <v>169</v>
      </c>
      <c r="G14" s="1" t="s">
        <v>72</v>
      </c>
    </row>
    <row r="15" spans="1:7" x14ac:dyDescent="0.25">
      <c r="A15" s="7">
        <v>1</v>
      </c>
      <c r="B15" s="7" t="s">
        <v>107</v>
      </c>
      <c r="C15" s="7">
        <v>10</v>
      </c>
      <c r="D15" s="7"/>
      <c r="E15" s="7" t="str">
        <f t="shared" ref="E15:E23" si="0">IF(OR(C15="",D15=""),"",C15*D15/100)</f>
        <v/>
      </c>
      <c r="F15" s="7"/>
      <c r="G15" s="7" t="s">
        <v>108</v>
      </c>
    </row>
    <row r="16" spans="1:7" ht="30" x14ac:dyDescent="0.25">
      <c r="A16" s="7">
        <v>2</v>
      </c>
      <c r="B16" s="7" t="s">
        <v>109</v>
      </c>
      <c r="C16" s="7">
        <v>10</v>
      </c>
      <c r="D16" s="7"/>
      <c r="E16" s="7" t="str">
        <f t="shared" si="0"/>
        <v/>
      </c>
      <c r="F16" s="7"/>
      <c r="G16" s="7" t="s">
        <v>110</v>
      </c>
    </row>
    <row r="17" spans="1:7" ht="30" x14ac:dyDescent="0.25">
      <c r="A17" s="7">
        <v>3</v>
      </c>
      <c r="B17" s="7" t="s">
        <v>111</v>
      </c>
      <c r="C17" s="7">
        <v>10</v>
      </c>
      <c r="D17" s="7"/>
      <c r="E17" s="7" t="str">
        <f t="shared" si="0"/>
        <v/>
      </c>
      <c r="F17" s="7"/>
      <c r="G17" s="7" t="s">
        <v>112</v>
      </c>
    </row>
    <row r="18" spans="1:7" x14ac:dyDescent="0.25">
      <c r="A18" s="7">
        <v>4</v>
      </c>
      <c r="B18" s="7" t="s">
        <v>113</v>
      </c>
      <c r="C18" s="7">
        <v>10</v>
      </c>
      <c r="D18" s="7"/>
      <c r="E18" s="7" t="str">
        <f t="shared" si="0"/>
        <v/>
      </c>
      <c r="F18" s="7"/>
      <c r="G18" s="7" t="s">
        <v>114</v>
      </c>
    </row>
    <row r="19" spans="1:7" ht="60" x14ac:dyDescent="0.25">
      <c r="A19" s="7">
        <v>5</v>
      </c>
      <c r="B19" s="7" t="s">
        <v>115</v>
      </c>
      <c r="C19" s="7">
        <v>15</v>
      </c>
      <c r="D19" s="7"/>
      <c r="E19" s="7" t="str">
        <f t="shared" si="0"/>
        <v/>
      </c>
      <c r="F19" s="7"/>
      <c r="G19" s="7" t="s">
        <v>116</v>
      </c>
    </row>
    <row r="20" spans="1:7" x14ac:dyDescent="0.25">
      <c r="A20" s="7">
        <v>6</v>
      </c>
      <c r="B20" s="7" t="s">
        <v>117</v>
      </c>
      <c r="C20" s="7">
        <v>10</v>
      </c>
      <c r="D20" s="7"/>
      <c r="E20" s="7" t="str">
        <f t="shared" si="0"/>
        <v/>
      </c>
      <c r="F20" s="7"/>
      <c r="G20" s="7" t="s">
        <v>118</v>
      </c>
    </row>
    <row r="21" spans="1:7" ht="30" x14ac:dyDescent="0.25">
      <c r="A21" s="7">
        <v>7</v>
      </c>
      <c r="B21" s="7" t="s">
        <v>119</v>
      </c>
      <c r="C21" s="7">
        <v>10</v>
      </c>
      <c r="D21" s="7"/>
      <c r="E21" s="7" t="str">
        <f t="shared" si="0"/>
        <v/>
      </c>
      <c r="F21" s="7"/>
      <c r="G21" s="7" t="s">
        <v>120</v>
      </c>
    </row>
    <row r="22" spans="1:7" ht="30" x14ac:dyDescent="0.25">
      <c r="A22" s="7">
        <v>8</v>
      </c>
      <c r="B22" s="7" t="s">
        <v>121</v>
      </c>
      <c r="C22" s="7">
        <v>10</v>
      </c>
      <c r="D22" s="7"/>
      <c r="E22" s="7" t="str">
        <f t="shared" si="0"/>
        <v/>
      </c>
      <c r="F22" s="7"/>
      <c r="G22" s="7" t="s">
        <v>122</v>
      </c>
    </row>
    <row r="23" spans="1:7" ht="30" x14ac:dyDescent="0.25">
      <c r="A23" s="7">
        <v>9</v>
      </c>
      <c r="B23" s="7" t="s">
        <v>123</v>
      </c>
      <c r="C23" s="7">
        <v>15</v>
      </c>
      <c r="D23" s="7"/>
      <c r="E23" s="7" t="str">
        <f t="shared" si="0"/>
        <v/>
      </c>
      <c r="F23" s="7"/>
      <c r="G23" s="7" t="s">
        <v>124</v>
      </c>
    </row>
    <row r="24" spans="1:7" x14ac:dyDescent="0.25">
      <c r="B24" s="8" t="s">
        <v>180</v>
      </c>
      <c r="C24">
        <f>SUM(C15:C23)</f>
        <v>100</v>
      </c>
      <c r="D24" s="8" t="str">
        <f>IF(COUNT(D15:D23)=9,SUM(E15:E23),"")</f>
        <v/>
      </c>
    </row>
    <row r="26" spans="1:7" x14ac:dyDescent="0.25">
      <c r="A26" t="s">
        <v>181</v>
      </c>
      <c r="B26" s="9" t="s">
        <v>182</v>
      </c>
      <c r="C26" s="9"/>
      <c r="D26" s="9"/>
      <c r="E26" s="9"/>
      <c r="F26" s="9"/>
      <c r="G26" s="9"/>
    </row>
    <row r="27" spans="1:7" x14ac:dyDescent="0.25">
      <c r="B27" s="9"/>
      <c r="C27" s="9"/>
      <c r="D27" s="9"/>
      <c r="E27" s="9"/>
      <c r="F27" s="9"/>
      <c r="G27" s="9"/>
    </row>
  </sheetData>
  <mergeCells count="2">
    <mergeCell ref="B26:G27"/>
    <mergeCell ref="A1:G1"/>
  </mergeCells>
  <conditionalFormatting sqref="D15:D2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n integer from 1 to 5." sqref="D15:D23" xr:uid="{00000000-0002-0000-0900-000002000000}">
      <formula1>1</formula1>
      <formula2>5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900-000000000000}">
          <x14:formula1>
            <xm:f>'Evaluator Master'!$A$2:$A$21</xm:f>
          </x14:formula1>
          <xm:sqref>B6</xm:sqref>
        </x14:dataValidation>
        <x14:dataValidation type="list" xr:uid="{00000000-0002-0000-0900-000001000000}">
          <x14:formula1>
            <xm:f>'Master Calendar'!$A$2:$A$6</xm:f>
          </x14:formula1>
          <xm:sqref>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showGridLines="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" customWidth="1"/>
    <col min="2" max="2" width="46" customWidth="1"/>
    <col min="3" max="3" width="12" customWidth="1"/>
    <col min="4" max="4" width="14" customWidth="1"/>
    <col min="5" max="5" width="18" customWidth="1"/>
    <col min="6" max="6" width="55" customWidth="1"/>
    <col min="7" max="7" width="90" customWidth="1"/>
  </cols>
  <sheetData>
    <row r="1" spans="1:7" ht="21" x14ac:dyDescent="0.35">
      <c r="A1" s="11" t="s">
        <v>186</v>
      </c>
      <c r="B1" s="9"/>
      <c r="C1" s="9"/>
      <c r="D1" s="9"/>
      <c r="E1" s="9"/>
      <c r="F1" s="9"/>
      <c r="G1" s="9"/>
    </row>
    <row r="3" spans="1:7" x14ac:dyDescent="0.25">
      <c r="A3" s="6" t="s">
        <v>165</v>
      </c>
      <c r="B3" t="s">
        <v>172</v>
      </c>
    </row>
    <row r="4" spans="1:7" x14ac:dyDescent="0.25">
      <c r="A4" s="6" t="s">
        <v>60</v>
      </c>
    </row>
    <row r="5" spans="1:7" x14ac:dyDescent="0.25">
      <c r="A5" s="6" t="s">
        <v>173</v>
      </c>
      <c r="B5" t="str">
        <f ca="1">IFERROR(_xludf.XLOOKUP(B4,'Master Calendar'!$A$2:$A$6,'Master Calendar'!$C$2:$C$6),"BLOCKED / NO DEMO SCHEDULED")</f>
        <v>BLOCKED / NO DEMO SCHEDULED</v>
      </c>
    </row>
    <row r="6" spans="1:7" x14ac:dyDescent="0.25">
      <c r="A6" s="6" t="s">
        <v>33</v>
      </c>
    </row>
    <row r="7" spans="1:7" x14ac:dyDescent="0.25">
      <c r="A7" s="6" t="s">
        <v>174</v>
      </c>
      <c r="B7" t="str">
        <f ca="1">IFERROR(_xludf.XLOOKUP(B6,'Evaluator Master'!$A$2:$A$21,'Evaluator Master'!$B$2:$B$21),"")</f>
        <v/>
      </c>
    </row>
    <row r="8" spans="1:7" x14ac:dyDescent="0.25">
      <c r="A8" s="6" t="s">
        <v>175</v>
      </c>
      <c r="B8" t="str">
        <f ca="1">IFERROR(_xludf.XLOOKUP(B6,'Evaluator Master'!$A$2:$A$21,'Evaluator Master'!$C$2:$C$21),"")</f>
        <v/>
      </c>
    </row>
    <row r="9" spans="1:7" x14ac:dyDescent="0.25">
      <c r="A9" s="6" t="s">
        <v>176</v>
      </c>
      <c r="B9" t="s">
        <v>6</v>
      </c>
    </row>
    <row r="10" spans="1:7" x14ac:dyDescent="0.25">
      <c r="A10" s="6" t="s">
        <v>177</v>
      </c>
      <c r="B10">
        <v>12</v>
      </c>
    </row>
    <row r="11" spans="1:7" x14ac:dyDescent="0.25">
      <c r="A11" s="6" t="s">
        <v>178</v>
      </c>
      <c r="B11" t="str">
        <f ca="1">IF(OR(B4="",B6="",B5="BLOCKED / NO DEMO SCHEDULED"),"INCOMPLETE / BLOCKED","READY")</f>
        <v>INCOMPLETE / BLOCKED</v>
      </c>
    </row>
    <row r="14" spans="1:7" x14ac:dyDescent="0.25">
      <c r="A14" s="1" t="s">
        <v>179</v>
      </c>
      <c r="B14" s="1" t="s">
        <v>70</v>
      </c>
      <c r="C14" s="1" t="s">
        <v>71</v>
      </c>
      <c r="D14" s="1" t="s">
        <v>167</v>
      </c>
      <c r="E14" s="1" t="s">
        <v>168</v>
      </c>
      <c r="F14" s="1" t="s">
        <v>169</v>
      </c>
      <c r="G14" s="1" t="s">
        <v>72</v>
      </c>
    </row>
    <row r="15" spans="1:7" x14ac:dyDescent="0.25">
      <c r="A15" s="7">
        <v>1</v>
      </c>
      <c r="B15" s="7" t="s">
        <v>125</v>
      </c>
      <c r="C15" s="7">
        <v>25</v>
      </c>
      <c r="D15" s="7"/>
      <c r="E15" s="7" t="str">
        <f>IF(OR(C15="",D15=""),"",C15*D15/100)</f>
        <v/>
      </c>
      <c r="F15" s="7"/>
      <c r="G15" s="7" t="s">
        <v>126</v>
      </c>
    </row>
    <row r="16" spans="1:7" ht="30" x14ac:dyDescent="0.25">
      <c r="A16" s="7">
        <v>2</v>
      </c>
      <c r="B16" s="7" t="s">
        <v>115</v>
      </c>
      <c r="C16" s="7">
        <v>25</v>
      </c>
      <c r="D16" s="7"/>
      <c r="E16" s="7" t="str">
        <f>IF(OR(C16="",D16=""),"",C16*D16/100)</f>
        <v/>
      </c>
      <c r="F16" s="7"/>
      <c r="G16" s="7" t="s">
        <v>127</v>
      </c>
    </row>
    <row r="17" spans="1:7" ht="30" x14ac:dyDescent="0.25">
      <c r="A17" s="7">
        <v>3</v>
      </c>
      <c r="B17" s="7" t="s">
        <v>128</v>
      </c>
      <c r="C17" s="7">
        <v>25</v>
      </c>
      <c r="D17" s="7"/>
      <c r="E17" s="7" t="str">
        <f>IF(OR(C17="",D17=""),"",C17*D17/100)</f>
        <v/>
      </c>
      <c r="F17" s="7"/>
      <c r="G17" s="7" t="s">
        <v>129</v>
      </c>
    </row>
    <row r="18" spans="1:7" ht="30" x14ac:dyDescent="0.25">
      <c r="A18" s="7">
        <v>4</v>
      </c>
      <c r="B18" s="7" t="s">
        <v>130</v>
      </c>
      <c r="C18" s="7">
        <v>25</v>
      </c>
      <c r="D18" s="7"/>
      <c r="E18" s="7" t="str">
        <f>IF(OR(C18="",D18=""),"",C18*D18/100)</f>
        <v/>
      </c>
      <c r="F18" s="7"/>
      <c r="G18" s="7" t="s">
        <v>131</v>
      </c>
    </row>
    <row r="19" spans="1:7" x14ac:dyDescent="0.25">
      <c r="B19" s="8" t="s">
        <v>180</v>
      </c>
      <c r="C19">
        <f>SUM(C15:C18)</f>
        <v>100</v>
      </c>
      <c r="D19" s="8" t="str">
        <f>IF(COUNT(D15:D18)=4,SUM(E15:E18),"")</f>
        <v/>
      </c>
    </row>
    <row r="21" spans="1:7" x14ac:dyDescent="0.25">
      <c r="A21" t="s">
        <v>181</v>
      </c>
      <c r="B21" s="9" t="s">
        <v>182</v>
      </c>
      <c r="C21" s="9"/>
      <c r="D21" s="9"/>
      <c r="E21" s="9"/>
      <c r="F21" s="9"/>
      <c r="G21" s="9"/>
    </row>
    <row r="22" spans="1:7" x14ac:dyDescent="0.25">
      <c r="B22" s="9"/>
      <c r="C22" s="9"/>
      <c r="D22" s="9"/>
      <c r="E22" s="9"/>
      <c r="F22" s="9"/>
      <c r="G22" s="9"/>
    </row>
  </sheetData>
  <mergeCells count="2">
    <mergeCell ref="B21:G22"/>
    <mergeCell ref="A1:G1"/>
  </mergeCells>
  <conditionalFormatting sqref="D15:D18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n integer from 1 to 5." sqref="D15:D18" xr:uid="{00000000-0002-0000-0A00-000002000000}">
      <formula1>1</formula1>
      <formula2>5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A00-000000000000}">
          <x14:formula1>
            <xm:f>'Evaluator Master'!$A$2:$A$21</xm:f>
          </x14:formula1>
          <xm:sqref>B6</xm:sqref>
        </x14:dataValidation>
        <x14:dataValidation type="list" xr:uid="{00000000-0002-0000-0A00-000001000000}">
          <x14:formula1>
            <xm:f>'Master Calendar'!$A$2:$A$6</xm:f>
          </x14:formula1>
          <xm:sqref>B4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"/>
  <sheetViews>
    <sheetView showGridLines="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" customWidth="1"/>
    <col min="2" max="2" width="46" customWidth="1"/>
    <col min="3" max="3" width="12" customWidth="1"/>
    <col min="4" max="4" width="14" customWidth="1"/>
    <col min="5" max="5" width="18" customWidth="1"/>
    <col min="6" max="6" width="55" customWidth="1"/>
    <col min="7" max="7" width="90" customWidth="1"/>
  </cols>
  <sheetData>
    <row r="1" spans="1:7" ht="21" x14ac:dyDescent="0.35">
      <c r="A1" s="11" t="s">
        <v>187</v>
      </c>
      <c r="B1" s="9"/>
      <c r="C1" s="9"/>
      <c r="D1" s="9"/>
      <c r="E1" s="9"/>
      <c r="F1" s="9"/>
      <c r="G1" s="9"/>
    </row>
    <row r="3" spans="1:7" x14ac:dyDescent="0.25">
      <c r="A3" s="6" t="s">
        <v>165</v>
      </c>
      <c r="B3" t="s">
        <v>172</v>
      </c>
    </row>
    <row r="4" spans="1:7" x14ac:dyDescent="0.25">
      <c r="A4" s="6" t="s">
        <v>60</v>
      </c>
    </row>
    <row r="5" spans="1:7" x14ac:dyDescent="0.25">
      <c r="A5" s="6" t="s">
        <v>173</v>
      </c>
      <c r="B5" t="str">
        <f ca="1">IFERROR(_xludf.XLOOKUP(B4,'Master Calendar'!$A$2:$A$6,'Master Calendar'!$C$2:$C$6),"BLOCKED / NO DEMO SCHEDULED")</f>
        <v>BLOCKED / NO DEMO SCHEDULED</v>
      </c>
    </row>
    <row r="6" spans="1:7" x14ac:dyDescent="0.25">
      <c r="A6" s="6" t="s">
        <v>33</v>
      </c>
    </row>
    <row r="7" spans="1:7" x14ac:dyDescent="0.25">
      <c r="A7" s="6" t="s">
        <v>174</v>
      </c>
      <c r="B7" t="str">
        <f ca="1">IFERROR(_xludf.XLOOKUP(B6,'Evaluator Master'!$A$2:$A$21,'Evaluator Master'!$B$2:$B$21),"")</f>
        <v/>
      </c>
    </row>
    <row r="8" spans="1:7" x14ac:dyDescent="0.25">
      <c r="A8" s="6" t="s">
        <v>175</v>
      </c>
      <c r="B8" t="str">
        <f ca="1">IFERROR(_xludf.XLOOKUP(B6,'Evaluator Master'!$A$2:$A$21,'Evaluator Master'!$C$2:$C$21),"")</f>
        <v/>
      </c>
    </row>
    <row r="9" spans="1:7" x14ac:dyDescent="0.25">
      <c r="A9" s="6" t="s">
        <v>176</v>
      </c>
      <c r="B9" t="s">
        <v>7</v>
      </c>
    </row>
    <row r="10" spans="1:7" x14ac:dyDescent="0.25">
      <c r="A10" s="6" t="s">
        <v>177</v>
      </c>
      <c r="B10">
        <v>15</v>
      </c>
    </row>
    <row r="11" spans="1:7" x14ac:dyDescent="0.25">
      <c r="A11" s="6" t="s">
        <v>178</v>
      </c>
      <c r="B11" t="str">
        <f ca="1">IF(OR(B4="",B6="",B5="BLOCKED / NO DEMO SCHEDULED"),"INCOMPLETE / BLOCKED","READY")</f>
        <v>INCOMPLETE / BLOCKED</v>
      </c>
    </row>
    <row r="14" spans="1:7" x14ac:dyDescent="0.25">
      <c r="A14" s="1" t="s">
        <v>179</v>
      </c>
      <c r="B14" s="1" t="s">
        <v>70</v>
      </c>
      <c r="C14" s="1" t="s">
        <v>71</v>
      </c>
      <c r="D14" s="1" t="s">
        <v>167</v>
      </c>
      <c r="E14" s="1" t="s">
        <v>168</v>
      </c>
      <c r="F14" s="1" t="s">
        <v>169</v>
      </c>
      <c r="G14" s="1" t="s">
        <v>72</v>
      </c>
    </row>
    <row r="15" spans="1:7" x14ac:dyDescent="0.25">
      <c r="A15" s="7">
        <v>1</v>
      </c>
      <c r="B15" s="7" t="s">
        <v>73</v>
      </c>
      <c r="C15" s="7">
        <v>10</v>
      </c>
      <c r="D15" s="7"/>
      <c r="E15" s="7" t="str">
        <f t="shared" ref="E15:E24" si="0">IF(OR(C15="",D15=""),"",C15*D15/100)</f>
        <v/>
      </c>
      <c r="F15" s="7"/>
      <c r="G15" s="7" t="s">
        <v>132</v>
      </c>
    </row>
    <row r="16" spans="1:7" x14ac:dyDescent="0.25">
      <c r="A16" s="7">
        <v>2</v>
      </c>
      <c r="B16" s="7" t="s">
        <v>98</v>
      </c>
      <c r="C16" s="7">
        <v>10</v>
      </c>
      <c r="D16" s="7"/>
      <c r="E16" s="7" t="str">
        <f t="shared" si="0"/>
        <v/>
      </c>
      <c r="F16" s="7"/>
      <c r="G16" s="7" t="s">
        <v>133</v>
      </c>
    </row>
    <row r="17" spans="1:7" x14ac:dyDescent="0.25">
      <c r="A17" s="7">
        <v>3</v>
      </c>
      <c r="B17" s="7" t="s">
        <v>134</v>
      </c>
      <c r="C17" s="7">
        <v>10</v>
      </c>
      <c r="D17" s="7"/>
      <c r="E17" s="7" t="str">
        <f t="shared" si="0"/>
        <v/>
      </c>
      <c r="F17" s="7"/>
      <c r="G17" s="7" t="s">
        <v>135</v>
      </c>
    </row>
    <row r="18" spans="1:7" x14ac:dyDescent="0.25">
      <c r="A18" s="7">
        <v>4</v>
      </c>
      <c r="B18" s="7" t="s">
        <v>101</v>
      </c>
      <c r="C18" s="7">
        <v>10</v>
      </c>
      <c r="D18" s="7"/>
      <c r="E18" s="7" t="str">
        <f t="shared" si="0"/>
        <v/>
      </c>
      <c r="F18" s="7"/>
      <c r="G18" s="7" t="s">
        <v>136</v>
      </c>
    </row>
    <row r="19" spans="1:7" x14ac:dyDescent="0.25">
      <c r="A19" s="7">
        <v>5</v>
      </c>
      <c r="B19" s="7" t="s">
        <v>103</v>
      </c>
      <c r="C19" s="7">
        <v>10</v>
      </c>
      <c r="D19" s="7"/>
      <c r="E19" s="7" t="str">
        <f t="shared" si="0"/>
        <v/>
      </c>
      <c r="F19" s="7"/>
      <c r="G19" s="7" t="s">
        <v>137</v>
      </c>
    </row>
    <row r="20" spans="1:7" ht="30" x14ac:dyDescent="0.25">
      <c r="A20" s="7">
        <v>6</v>
      </c>
      <c r="B20" s="7" t="s">
        <v>138</v>
      </c>
      <c r="C20" s="7">
        <v>10</v>
      </c>
      <c r="D20" s="7"/>
      <c r="E20" s="7" t="str">
        <f t="shared" si="0"/>
        <v/>
      </c>
      <c r="F20" s="7"/>
      <c r="G20" s="7" t="s">
        <v>139</v>
      </c>
    </row>
    <row r="21" spans="1:7" ht="30" x14ac:dyDescent="0.25">
      <c r="A21" s="7">
        <v>7</v>
      </c>
      <c r="B21" s="7" t="s">
        <v>140</v>
      </c>
      <c r="C21" s="7">
        <v>10</v>
      </c>
      <c r="D21" s="7"/>
      <c r="E21" s="7" t="str">
        <f t="shared" si="0"/>
        <v/>
      </c>
      <c r="F21" s="7"/>
      <c r="G21" s="7" t="s">
        <v>141</v>
      </c>
    </row>
    <row r="22" spans="1:7" ht="30" x14ac:dyDescent="0.25">
      <c r="A22" s="7">
        <v>8</v>
      </c>
      <c r="B22" s="7" t="s">
        <v>142</v>
      </c>
      <c r="C22" s="7">
        <v>10</v>
      </c>
      <c r="D22" s="7"/>
      <c r="E22" s="7" t="str">
        <f t="shared" si="0"/>
        <v/>
      </c>
      <c r="F22" s="7"/>
      <c r="G22" s="7" t="s">
        <v>143</v>
      </c>
    </row>
    <row r="23" spans="1:7" x14ac:dyDescent="0.25">
      <c r="A23" s="7">
        <v>9</v>
      </c>
      <c r="B23" s="7" t="s">
        <v>144</v>
      </c>
      <c r="C23" s="7">
        <v>10</v>
      </c>
      <c r="D23" s="7"/>
      <c r="E23" s="7" t="str">
        <f t="shared" si="0"/>
        <v/>
      </c>
      <c r="F23" s="7"/>
      <c r="G23" s="7" t="s">
        <v>145</v>
      </c>
    </row>
    <row r="24" spans="1:7" ht="30" x14ac:dyDescent="0.25">
      <c r="A24" s="7">
        <v>10</v>
      </c>
      <c r="B24" s="7" t="s">
        <v>146</v>
      </c>
      <c r="C24" s="7">
        <v>10</v>
      </c>
      <c r="D24" s="7"/>
      <c r="E24" s="7" t="str">
        <f t="shared" si="0"/>
        <v/>
      </c>
      <c r="F24" s="7"/>
      <c r="G24" s="7" t="s">
        <v>147</v>
      </c>
    </row>
    <row r="25" spans="1:7" x14ac:dyDescent="0.25">
      <c r="B25" s="8" t="s">
        <v>180</v>
      </c>
      <c r="C25">
        <f>SUM(C15:C24)</f>
        <v>100</v>
      </c>
      <c r="D25" s="8" t="str">
        <f>IF(COUNT(D15:D24)=10,SUM(E15:E24),"")</f>
        <v/>
      </c>
    </row>
    <row r="27" spans="1:7" x14ac:dyDescent="0.25">
      <c r="A27" t="s">
        <v>181</v>
      </c>
      <c r="B27" s="9" t="s">
        <v>182</v>
      </c>
      <c r="C27" s="9"/>
      <c r="D27" s="9"/>
      <c r="E27" s="9"/>
      <c r="F27" s="9"/>
      <c r="G27" s="9"/>
    </row>
    <row r="28" spans="1:7" x14ac:dyDescent="0.25">
      <c r="B28" s="9"/>
      <c r="C28" s="9"/>
      <c r="D28" s="9"/>
      <c r="E28" s="9"/>
      <c r="F28" s="9"/>
      <c r="G28" s="9"/>
    </row>
  </sheetData>
  <mergeCells count="2">
    <mergeCell ref="B27:G28"/>
    <mergeCell ref="A1:G1"/>
  </mergeCells>
  <conditionalFormatting sqref="D15:D24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n integer from 1 to 5." sqref="D15:D24" xr:uid="{00000000-0002-0000-0B00-000002000000}">
      <formula1>1</formula1>
      <formula2>5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B00-000000000000}">
          <x14:formula1>
            <xm:f>'Evaluator Master'!$A$2:$A$21</xm:f>
          </x14:formula1>
          <xm:sqref>B6</xm:sqref>
        </x14:dataValidation>
        <x14:dataValidation type="list" xr:uid="{00000000-0002-0000-0B00-000001000000}">
          <x14:formula1>
            <xm:f>'Master Calendar'!$A$2:$A$6</xm:f>
          </x14:formula1>
          <xm:sqref>B4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showGridLines="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" customWidth="1"/>
    <col min="2" max="2" width="46" customWidth="1"/>
    <col min="3" max="3" width="12" customWidth="1"/>
    <col min="4" max="4" width="14" customWidth="1"/>
    <col min="5" max="5" width="18" customWidth="1"/>
    <col min="6" max="6" width="55" customWidth="1"/>
    <col min="7" max="7" width="90" customWidth="1"/>
  </cols>
  <sheetData>
    <row r="1" spans="1:7" ht="21" x14ac:dyDescent="0.35">
      <c r="A1" s="11" t="s">
        <v>188</v>
      </c>
      <c r="B1" s="9"/>
      <c r="C1" s="9"/>
      <c r="D1" s="9"/>
      <c r="E1" s="9"/>
      <c r="F1" s="9"/>
      <c r="G1" s="9"/>
    </row>
    <row r="3" spans="1:7" x14ac:dyDescent="0.25">
      <c r="A3" s="6" t="s">
        <v>165</v>
      </c>
      <c r="B3" t="s">
        <v>172</v>
      </c>
    </row>
    <row r="4" spans="1:7" x14ac:dyDescent="0.25">
      <c r="A4" s="6" t="s">
        <v>60</v>
      </c>
    </row>
    <row r="5" spans="1:7" x14ac:dyDescent="0.25">
      <c r="A5" s="6" t="s">
        <v>173</v>
      </c>
      <c r="B5" t="str">
        <f ca="1">IFERROR(_xludf.XLOOKUP(B4,'Master Calendar'!$A$2:$A$6,'Master Calendar'!$C$2:$C$6),"BLOCKED / NO DEMO SCHEDULED")</f>
        <v>BLOCKED / NO DEMO SCHEDULED</v>
      </c>
    </row>
    <row r="6" spans="1:7" x14ac:dyDescent="0.25">
      <c r="A6" s="6" t="s">
        <v>33</v>
      </c>
    </row>
    <row r="7" spans="1:7" x14ac:dyDescent="0.25">
      <c r="A7" s="6" t="s">
        <v>174</v>
      </c>
      <c r="B7" t="str">
        <f ca="1">IFERROR(_xludf.XLOOKUP(B6,'Evaluator Master'!$A$2:$A$21,'Evaluator Master'!$B$2:$B$21),"")</f>
        <v/>
      </c>
    </row>
    <row r="8" spans="1:7" x14ac:dyDescent="0.25">
      <c r="A8" s="6" t="s">
        <v>175</v>
      </c>
      <c r="B8" t="str">
        <f ca="1">IFERROR(_xludf.XLOOKUP(B6,'Evaluator Master'!$A$2:$A$21,'Evaluator Master'!$C$2:$C$21),"")</f>
        <v/>
      </c>
    </row>
    <row r="9" spans="1:7" x14ac:dyDescent="0.25">
      <c r="A9" s="6" t="s">
        <v>176</v>
      </c>
      <c r="B9" t="s">
        <v>8</v>
      </c>
    </row>
    <row r="10" spans="1:7" x14ac:dyDescent="0.25">
      <c r="A10" s="6" t="s">
        <v>177</v>
      </c>
      <c r="B10">
        <v>13</v>
      </c>
    </row>
    <row r="11" spans="1:7" x14ac:dyDescent="0.25">
      <c r="A11" s="6" t="s">
        <v>178</v>
      </c>
      <c r="B11" t="str">
        <f ca="1">IF(OR(B4="",B6="",B5="BLOCKED / NO DEMO SCHEDULED"),"INCOMPLETE / BLOCKED","READY")</f>
        <v>INCOMPLETE / BLOCKED</v>
      </c>
    </row>
    <row r="14" spans="1:7" x14ac:dyDescent="0.25">
      <c r="A14" s="1" t="s">
        <v>179</v>
      </c>
      <c r="B14" s="1" t="s">
        <v>70</v>
      </c>
      <c r="C14" s="1" t="s">
        <v>71</v>
      </c>
      <c r="D14" s="1" t="s">
        <v>167</v>
      </c>
      <c r="E14" s="1" t="s">
        <v>168</v>
      </c>
      <c r="F14" s="1" t="s">
        <v>169</v>
      </c>
      <c r="G14" s="1" t="s">
        <v>72</v>
      </c>
    </row>
    <row r="15" spans="1:7" ht="30" x14ac:dyDescent="0.25">
      <c r="A15" s="7">
        <v>1</v>
      </c>
      <c r="B15" s="7" t="s">
        <v>148</v>
      </c>
      <c r="C15" s="7">
        <v>15</v>
      </c>
      <c r="D15" s="7"/>
      <c r="E15" s="7" t="str">
        <f t="shared" ref="E15:E23" si="0">IF(OR(C15="",D15=""),"",C15*D15/100)</f>
        <v/>
      </c>
      <c r="F15" s="7"/>
      <c r="G15" s="7" t="s">
        <v>149</v>
      </c>
    </row>
    <row r="16" spans="1:7" ht="45" x14ac:dyDescent="0.25">
      <c r="A16" s="7">
        <v>2</v>
      </c>
      <c r="B16" s="7" t="s">
        <v>150</v>
      </c>
      <c r="C16" s="7">
        <v>10</v>
      </c>
      <c r="D16" s="7"/>
      <c r="E16" s="7" t="str">
        <f t="shared" si="0"/>
        <v/>
      </c>
      <c r="F16" s="7"/>
      <c r="G16" s="7" t="s">
        <v>151</v>
      </c>
    </row>
    <row r="17" spans="1:7" ht="30" x14ac:dyDescent="0.25">
      <c r="A17" s="7">
        <v>3</v>
      </c>
      <c r="B17" s="7" t="s">
        <v>152</v>
      </c>
      <c r="C17" s="7">
        <v>10</v>
      </c>
      <c r="D17" s="7"/>
      <c r="E17" s="7" t="str">
        <f t="shared" si="0"/>
        <v/>
      </c>
      <c r="F17" s="7"/>
      <c r="G17" s="7" t="s">
        <v>153</v>
      </c>
    </row>
    <row r="18" spans="1:7" ht="30" x14ac:dyDescent="0.25">
      <c r="A18" s="7">
        <v>4</v>
      </c>
      <c r="B18" s="7" t="s">
        <v>154</v>
      </c>
      <c r="C18" s="7">
        <v>10</v>
      </c>
      <c r="D18" s="7"/>
      <c r="E18" s="7" t="str">
        <f t="shared" si="0"/>
        <v/>
      </c>
      <c r="F18" s="7"/>
      <c r="G18" s="7" t="s">
        <v>155</v>
      </c>
    </row>
    <row r="19" spans="1:7" ht="30" x14ac:dyDescent="0.25">
      <c r="A19" s="7">
        <v>5</v>
      </c>
      <c r="B19" s="7" t="s">
        <v>156</v>
      </c>
      <c r="C19" s="7">
        <v>10</v>
      </c>
      <c r="D19" s="7"/>
      <c r="E19" s="7" t="str">
        <f t="shared" si="0"/>
        <v/>
      </c>
      <c r="F19" s="7"/>
      <c r="G19" s="7" t="s">
        <v>157</v>
      </c>
    </row>
    <row r="20" spans="1:7" ht="30" x14ac:dyDescent="0.25">
      <c r="A20" s="7">
        <v>6</v>
      </c>
      <c r="B20" s="7" t="s">
        <v>158</v>
      </c>
      <c r="C20" s="7">
        <v>15</v>
      </c>
      <c r="D20" s="7"/>
      <c r="E20" s="7" t="str">
        <f t="shared" si="0"/>
        <v/>
      </c>
      <c r="F20" s="7"/>
      <c r="G20" s="7" t="s">
        <v>159</v>
      </c>
    </row>
    <row r="21" spans="1:7" ht="30" x14ac:dyDescent="0.25">
      <c r="A21" s="7">
        <v>7</v>
      </c>
      <c r="B21" s="7" t="s">
        <v>160</v>
      </c>
      <c r="C21" s="7">
        <v>10</v>
      </c>
      <c r="D21" s="7"/>
      <c r="E21" s="7" t="str">
        <f t="shared" si="0"/>
        <v/>
      </c>
      <c r="F21" s="7"/>
      <c r="G21" s="7" t="s">
        <v>161</v>
      </c>
    </row>
    <row r="22" spans="1:7" ht="30" x14ac:dyDescent="0.25">
      <c r="A22" s="7">
        <v>8</v>
      </c>
      <c r="B22" s="7" t="s">
        <v>115</v>
      </c>
      <c r="C22" s="7">
        <v>10</v>
      </c>
      <c r="D22" s="7"/>
      <c r="E22" s="7" t="str">
        <f t="shared" si="0"/>
        <v/>
      </c>
      <c r="F22" s="7"/>
      <c r="G22" s="7" t="s">
        <v>162</v>
      </c>
    </row>
    <row r="23" spans="1:7" ht="30" x14ac:dyDescent="0.25">
      <c r="A23" s="7">
        <v>9</v>
      </c>
      <c r="B23" s="7" t="s">
        <v>163</v>
      </c>
      <c r="C23" s="7">
        <v>10</v>
      </c>
      <c r="D23" s="7"/>
      <c r="E23" s="7" t="str">
        <f t="shared" si="0"/>
        <v/>
      </c>
      <c r="F23" s="7"/>
      <c r="G23" s="7" t="s">
        <v>164</v>
      </c>
    </row>
    <row r="24" spans="1:7" x14ac:dyDescent="0.25">
      <c r="B24" s="8" t="s">
        <v>180</v>
      </c>
      <c r="C24">
        <f>SUM(C15:C23)</f>
        <v>100</v>
      </c>
      <c r="D24" s="8" t="str">
        <f>IF(COUNT(D15:D23)=9,SUM(E15:E23),"")</f>
        <v/>
      </c>
    </row>
    <row r="26" spans="1:7" x14ac:dyDescent="0.25">
      <c r="A26" t="s">
        <v>181</v>
      </c>
      <c r="B26" s="9" t="s">
        <v>182</v>
      </c>
      <c r="C26" s="9"/>
      <c r="D26" s="9"/>
      <c r="E26" s="9"/>
      <c r="F26" s="9"/>
      <c r="G26" s="9"/>
    </row>
    <row r="27" spans="1:7" x14ac:dyDescent="0.25">
      <c r="B27" s="9"/>
      <c r="C27" s="9"/>
      <c r="D27" s="9"/>
      <c r="E27" s="9"/>
      <c r="F27" s="9"/>
      <c r="G27" s="9"/>
    </row>
  </sheetData>
  <mergeCells count="2">
    <mergeCell ref="B26:G27"/>
    <mergeCell ref="A1:G1"/>
  </mergeCells>
  <conditionalFormatting sqref="D15:D2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n integer from 1 to 5." sqref="D15:D23" xr:uid="{00000000-0002-0000-0C00-000002000000}">
      <formula1>1</formula1>
      <formula2>5</formula2>
    </dataValidation>
  </dataValidations>
  <pageMargins left="0.75" right="0.75" top="1" bottom="1" header="0.5" footer="0.5"/>
  <headerFooter>
    <oddFooter>&amp;L_x000D_&amp;1#&amp;"Aptos"&amp;10&amp;K000000 Confidential - All AMCE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C00-000000000000}">
          <x14:formula1>
            <xm:f>'Evaluator Master'!$A$2:$A$21</xm:f>
          </x14:formula1>
          <xm:sqref>B6</xm:sqref>
        </x14:dataValidation>
        <x14:dataValidation type="list" xr:uid="{00000000-0002-0000-0C00-000001000000}">
          <x14:formula1>
            <xm:f>'Master Calendar'!$A$2:$A$6</xm:f>
          </x14:formula1>
          <xm:sqref>B4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65" customWidth="1"/>
    <col min="3" max="3" width="22" customWidth="1"/>
    <col min="4" max="4" width="14" customWidth="1"/>
    <col min="5" max="5" width="42" customWidth="1"/>
    <col min="6" max="6" width="60" customWidth="1"/>
  </cols>
  <sheetData>
    <row r="1" spans="1:6" x14ac:dyDescent="0.25">
      <c r="A1" s="4" t="s">
        <v>189</v>
      </c>
      <c r="B1" s="4" t="s">
        <v>190</v>
      </c>
      <c r="C1" s="4" t="s">
        <v>191</v>
      </c>
      <c r="D1" s="4" t="s">
        <v>192</v>
      </c>
      <c r="E1" s="4" t="s">
        <v>193</v>
      </c>
      <c r="F1" s="4" t="s">
        <v>194</v>
      </c>
    </row>
    <row r="2" spans="1:6" x14ac:dyDescent="0.25">
      <c r="A2" t="s">
        <v>195</v>
      </c>
      <c r="B2" t="s">
        <v>33</v>
      </c>
      <c r="C2" t="s">
        <v>196</v>
      </c>
      <c r="D2" t="s">
        <v>40</v>
      </c>
      <c r="E2" t="s">
        <v>197</v>
      </c>
      <c r="F2" t="s">
        <v>198</v>
      </c>
    </row>
    <row r="3" spans="1:6" x14ac:dyDescent="0.25">
      <c r="A3" t="s">
        <v>195</v>
      </c>
      <c r="B3" t="s">
        <v>60</v>
      </c>
      <c r="C3" t="s">
        <v>199</v>
      </c>
      <c r="D3" t="s">
        <v>40</v>
      </c>
      <c r="E3" t="s">
        <v>200</v>
      </c>
      <c r="F3" t="s">
        <v>201</v>
      </c>
    </row>
    <row r="4" spans="1:6" x14ac:dyDescent="0.25">
      <c r="A4" t="s">
        <v>195</v>
      </c>
      <c r="B4" t="s">
        <v>1</v>
      </c>
      <c r="C4" t="s">
        <v>202</v>
      </c>
      <c r="D4" t="s">
        <v>40</v>
      </c>
      <c r="E4" t="s">
        <v>203</v>
      </c>
      <c r="F4" t="s">
        <v>204</v>
      </c>
    </row>
    <row r="5" spans="1:6" x14ac:dyDescent="0.25">
      <c r="A5" t="s">
        <v>195</v>
      </c>
      <c r="B5" t="s">
        <v>34</v>
      </c>
      <c r="C5" t="s">
        <v>205</v>
      </c>
      <c r="D5" t="s">
        <v>40</v>
      </c>
      <c r="E5" t="s">
        <v>206</v>
      </c>
      <c r="F5" t="s">
        <v>207</v>
      </c>
    </row>
    <row r="6" spans="1:6" x14ac:dyDescent="0.25">
      <c r="A6" t="s">
        <v>195</v>
      </c>
      <c r="B6" t="s">
        <v>35</v>
      </c>
      <c r="C6" t="s">
        <v>205</v>
      </c>
      <c r="D6" t="s">
        <v>40</v>
      </c>
      <c r="E6" t="s">
        <v>208</v>
      </c>
      <c r="F6" t="s">
        <v>207</v>
      </c>
    </row>
    <row r="7" spans="1:6" x14ac:dyDescent="0.25">
      <c r="A7" t="s">
        <v>195</v>
      </c>
      <c r="B7" t="s">
        <v>209</v>
      </c>
      <c r="C7" t="s">
        <v>210</v>
      </c>
      <c r="D7" t="s">
        <v>40</v>
      </c>
      <c r="E7" t="s">
        <v>211</v>
      </c>
      <c r="F7" t="s">
        <v>212</v>
      </c>
    </row>
    <row r="8" spans="1:6" x14ac:dyDescent="0.25">
      <c r="A8" t="s">
        <v>195</v>
      </c>
      <c r="B8" t="s">
        <v>213</v>
      </c>
      <c r="C8" t="s">
        <v>214</v>
      </c>
      <c r="D8" t="s">
        <v>215</v>
      </c>
      <c r="E8" t="s">
        <v>216</v>
      </c>
      <c r="F8" t="s">
        <v>217</v>
      </c>
    </row>
    <row r="9" spans="1:6" x14ac:dyDescent="0.25">
      <c r="A9" t="s">
        <v>195</v>
      </c>
      <c r="B9" t="s">
        <v>218</v>
      </c>
      <c r="C9" t="s">
        <v>210</v>
      </c>
      <c r="D9" t="s">
        <v>40</v>
      </c>
      <c r="E9" t="s">
        <v>211</v>
      </c>
      <c r="F9" t="s">
        <v>212</v>
      </c>
    </row>
    <row r="10" spans="1:6" x14ac:dyDescent="0.25">
      <c r="A10" t="s">
        <v>195</v>
      </c>
      <c r="B10" t="s">
        <v>219</v>
      </c>
      <c r="C10" t="s">
        <v>214</v>
      </c>
      <c r="D10" t="s">
        <v>215</v>
      </c>
      <c r="E10" t="s">
        <v>216</v>
      </c>
      <c r="F10" t="s">
        <v>217</v>
      </c>
    </row>
    <row r="11" spans="1:6" x14ac:dyDescent="0.25">
      <c r="A11" t="s">
        <v>195</v>
      </c>
      <c r="B11" t="s">
        <v>220</v>
      </c>
      <c r="C11" t="s">
        <v>210</v>
      </c>
      <c r="D11" t="s">
        <v>40</v>
      </c>
      <c r="E11" t="s">
        <v>211</v>
      </c>
      <c r="F11" t="s">
        <v>221</v>
      </c>
    </row>
    <row r="12" spans="1:6" x14ac:dyDescent="0.25">
      <c r="A12" t="s">
        <v>195</v>
      </c>
      <c r="B12" t="s">
        <v>222</v>
      </c>
      <c r="C12" t="s">
        <v>214</v>
      </c>
      <c r="D12" t="s">
        <v>215</v>
      </c>
      <c r="E12" t="s">
        <v>216</v>
      </c>
      <c r="F12" t="s">
        <v>217</v>
      </c>
    </row>
    <row r="13" spans="1:6" x14ac:dyDescent="0.25">
      <c r="A13" t="s">
        <v>195</v>
      </c>
      <c r="B13" t="s">
        <v>223</v>
      </c>
      <c r="C13" t="s">
        <v>210</v>
      </c>
      <c r="D13" t="s">
        <v>40</v>
      </c>
      <c r="E13" t="s">
        <v>211</v>
      </c>
      <c r="F13" t="s">
        <v>221</v>
      </c>
    </row>
    <row r="14" spans="1:6" x14ac:dyDescent="0.25">
      <c r="A14" t="s">
        <v>195</v>
      </c>
      <c r="B14" t="s">
        <v>224</v>
      </c>
      <c r="C14" t="s">
        <v>214</v>
      </c>
      <c r="D14" t="s">
        <v>215</v>
      </c>
      <c r="E14" t="s">
        <v>216</v>
      </c>
      <c r="F14" t="s">
        <v>217</v>
      </c>
    </row>
    <row r="15" spans="1:6" x14ac:dyDescent="0.25">
      <c r="A15" t="s">
        <v>195</v>
      </c>
      <c r="B15" t="s">
        <v>225</v>
      </c>
      <c r="C15" t="s">
        <v>210</v>
      </c>
      <c r="D15" t="s">
        <v>40</v>
      </c>
      <c r="E15" t="s">
        <v>211</v>
      </c>
      <c r="F15" t="s">
        <v>221</v>
      </c>
    </row>
    <row r="16" spans="1:6" x14ac:dyDescent="0.25">
      <c r="A16" t="s">
        <v>195</v>
      </c>
      <c r="B16" t="s">
        <v>226</v>
      </c>
      <c r="C16" t="s">
        <v>214</v>
      </c>
      <c r="D16" t="s">
        <v>215</v>
      </c>
      <c r="E16" t="s">
        <v>216</v>
      </c>
      <c r="F16" t="s">
        <v>217</v>
      </c>
    </row>
    <row r="17" spans="1:6" x14ac:dyDescent="0.25">
      <c r="A17" t="s">
        <v>195</v>
      </c>
      <c r="B17" t="s">
        <v>227</v>
      </c>
      <c r="C17" t="s">
        <v>210</v>
      </c>
      <c r="D17" t="s">
        <v>40</v>
      </c>
      <c r="E17" t="s">
        <v>211</v>
      </c>
      <c r="F17" t="s">
        <v>221</v>
      </c>
    </row>
    <row r="18" spans="1:6" x14ac:dyDescent="0.25">
      <c r="A18" t="s">
        <v>195</v>
      </c>
      <c r="B18" t="s">
        <v>228</v>
      </c>
      <c r="C18" t="s">
        <v>214</v>
      </c>
      <c r="D18" t="s">
        <v>215</v>
      </c>
      <c r="E18" t="s">
        <v>216</v>
      </c>
      <c r="F18" t="s">
        <v>217</v>
      </c>
    </row>
    <row r="19" spans="1:6" x14ac:dyDescent="0.25">
      <c r="A19" t="s">
        <v>195</v>
      </c>
      <c r="B19" t="s">
        <v>229</v>
      </c>
      <c r="C19" t="s">
        <v>210</v>
      </c>
      <c r="D19" t="s">
        <v>40</v>
      </c>
      <c r="E19" t="s">
        <v>211</v>
      </c>
      <c r="F19" t="s">
        <v>221</v>
      </c>
    </row>
    <row r="20" spans="1:6" x14ac:dyDescent="0.25">
      <c r="A20" t="s">
        <v>195</v>
      </c>
      <c r="B20" t="s">
        <v>230</v>
      </c>
      <c r="C20" t="s">
        <v>214</v>
      </c>
      <c r="D20" t="s">
        <v>215</v>
      </c>
      <c r="E20" t="s">
        <v>216</v>
      </c>
      <c r="F20" t="s">
        <v>217</v>
      </c>
    </row>
    <row r="21" spans="1:6" x14ac:dyDescent="0.25">
      <c r="A21" t="s">
        <v>231</v>
      </c>
      <c r="B21" t="s">
        <v>33</v>
      </c>
      <c r="C21" t="s">
        <v>196</v>
      </c>
      <c r="D21" t="s">
        <v>40</v>
      </c>
      <c r="E21" t="s">
        <v>197</v>
      </c>
      <c r="F21" t="s">
        <v>198</v>
      </c>
    </row>
    <row r="22" spans="1:6" x14ac:dyDescent="0.25">
      <c r="A22" t="s">
        <v>231</v>
      </c>
      <c r="B22" t="s">
        <v>60</v>
      </c>
      <c r="C22" t="s">
        <v>199</v>
      </c>
      <c r="D22" t="s">
        <v>40</v>
      </c>
      <c r="E22" t="s">
        <v>200</v>
      </c>
      <c r="F22" t="s">
        <v>201</v>
      </c>
    </row>
    <row r="23" spans="1:6" x14ac:dyDescent="0.25">
      <c r="A23" t="s">
        <v>231</v>
      </c>
      <c r="B23" t="s">
        <v>1</v>
      </c>
      <c r="C23" t="s">
        <v>202</v>
      </c>
      <c r="D23" t="s">
        <v>40</v>
      </c>
      <c r="E23" t="s">
        <v>203</v>
      </c>
      <c r="F23" t="s">
        <v>204</v>
      </c>
    </row>
    <row r="24" spans="1:6" x14ac:dyDescent="0.25">
      <c r="A24" t="s">
        <v>231</v>
      </c>
      <c r="B24" t="s">
        <v>34</v>
      </c>
      <c r="C24" t="s">
        <v>205</v>
      </c>
      <c r="D24" t="s">
        <v>40</v>
      </c>
      <c r="E24" t="s">
        <v>206</v>
      </c>
      <c r="F24" t="s">
        <v>207</v>
      </c>
    </row>
    <row r="25" spans="1:6" x14ac:dyDescent="0.25">
      <c r="A25" t="s">
        <v>231</v>
      </c>
      <c r="B25" t="s">
        <v>35</v>
      </c>
      <c r="C25" t="s">
        <v>205</v>
      </c>
      <c r="D25" t="s">
        <v>40</v>
      </c>
      <c r="E25" t="s">
        <v>208</v>
      </c>
      <c r="F25" t="s">
        <v>207</v>
      </c>
    </row>
    <row r="26" spans="1:6" x14ac:dyDescent="0.25">
      <c r="A26" t="s">
        <v>231</v>
      </c>
      <c r="B26" t="s">
        <v>232</v>
      </c>
      <c r="C26" t="s">
        <v>210</v>
      </c>
      <c r="D26" t="s">
        <v>40</v>
      </c>
      <c r="E26" t="s">
        <v>211</v>
      </c>
      <c r="F26" t="s">
        <v>233</v>
      </c>
    </row>
    <row r="27" spans="1:6" x14ac:dyDescent="0.25">
      <c r="A27" t="s">
        <v>231</v>
      </c>
      <c r="B27" t="s">
        <v>234</v>
      </c>
      <c r="C27" t="s">
        <v>214</v>
      </c>
      <c r="D27" t="s">
        <v>215</v>
      </c>
      <c r="E27" t="s">
        <v>216</v>
      </c>
      <c r="F27" t="s">
        <v>217</v>
      </c>
    </row>
    <row r="28" spans="1:6" x14ac:dyDescent="0.25">
      <c r="A28" t="s">
        <v>231</v>
      </c>
      <c r="B28" t="s">
        <v>235</v>
      </c>
      <c r="C28" t="s">
        <v>210</v>
      </c>
      <c r="D28" t="s">
        <v>40</v>
      </c>
      <c r="E28" t="s">
        <v>211</v>
      </c>
      <c r="F28" t="s">
        <v>233</v>
      </c>
    </row>
    <row r="29" spans="1:6" x14ac:dyDescent="0.25">
      <c r="A29" t="s">
        <v>231</v>
      </c>
      <c r="B29" t="s">
        <v>236</v>
      </c>
      <c r="C29" t="s">
        <v>214</v>
      </c>
      <c r="D29" t="s">
        <v>215</v>
      </c>
      <c r="E29" t="s">
        <v>216</v>
      </c>
      <c r="F29" t="s">
        <v>217</v>
      </c>
    </row>
    <row r="30" spans="1:6" x14ac:dyDescent="0.25">
      <c r="A30" t="s">
        <v>231</v>
      </c>
      <c r="B30" t="s">
        <v>237</v>
      </c>
      <c r="C30" t="s">
        <v>210</v>
      </c>
      <c r="D30" t="s">
        <v>40</v>
      </c>
      <c r="E30" t="s">
        <v>211</v>
      </c>
      <c r="F30" t="s">
        <v>233</v>
      </c>
    </row>
    <row r="31" spans="1:6" x14ac:dyDescent="0.25">
      <c r="A31" t="s">
        <v>231</v>
      </c>
      <c r="B31" t="s">
        <v>238</v>
      </c>
      <c r="C31" t="s">
        <v>214</v>
      </c>
      <c r="D31" t="s">
        <v>215</v>
      </c>
      <c r="E31" t="s">
        <v>216</v>
      </c>
      <c r="F31" t="s">
        <v>217</v>
      </c>
    </row>
    <row r="32" spans="1:6" x14ac:dyDescent="0.25">
      <c r="A32" t="s">
        <v>231</v>
      </c>
      <c r="B32" t="s">
        <v>239</v>
      </c>
      <c r="C32" t="s">
        <v>210</v>
      </c>
      <c r="D32" t="s">
        <v>40</v>
      </c>
      <c r="E32" t="s">
        <v>211</v>
      </c>
      <c r="F32" t="s">
        <v>233</v>
      </c>
    </row>
    <row r="33" spans="1:6" x14ac:dyDescent="0.25">
      <c r="A33" t="s">
        <v>231</v>
      </c>
      <c r="B33" t="s">
        <v>240</v>
      </c>
      <c r="C33" t="s">
        <v>214</v>
      </c>
      <c r="D33" t="s">
        <v>215</v>
      </c>
      <c r="E33" t="s">
        <v>216</v>
      </c>
      <c r="F33" t="s">
        <v>217</v>
      </c>
    </row>
    <row r="34" spans="1:6" x14ac:dyDescent="0.25">
      <c r="A34" t="s">
        <v>231</v>
      </c>
      <c r="B34" t="s">
        <v>241</v>
      </c>
      <c r="C34" t="s">
        <v>210</v>
      </c>
      <c r="D34" t="s">
        <v>40</v>
      </c>
      <c r="E34" t="s">
        <v>211</v>
      </c>
      <c r="F34" t="s">
        <v>233</v>
      </c>
    </row>
    <row r="35" spans="1:6" x14ac:dyDescent="0.25">
      <c r="A35" t="s">
        <v>231</v>
      </c>
      <c r="B35" t="s">
        <v>242</v>
      </c>
      <c r="C35" t="s">
        <v>214</v>
      </c>
      <c r="D35" t="s">
        <v>215</v>
      </c>
      <c r="E35" t="s">
        <v>216</v>
      </c>
      <c r="F35" t="s">
        <v>217</v>
      </c>
    </row>
    <row r="36" spans="1:6" x14ac:dyDescent="0.25">
      <c r="A36" t="s">
        <v>243</v>
      </c>
      <c r="B36" t="s">
        <v>33</v>
      </c>
      <c r="C36" t="s">
        <v>196</v>
      </c>
      <c r="D36" t="s">
        <v>40</v>
      </c>
      <c r="E36" t="s">
        <v>197</v>
      </c>
      <c r="F36" t="s">
        <v>198</v>
      </c>
    </row>
    <row r="37" spans="1:6" x14ac:dyDescent="0.25">
      <c r="A37" t="s">
        <v>243</v>
      </c>
      <c r="B37" t="s">
        <v>60</v>
      </c>
      <c r="C37" t="s">
        <v>199</v>
      </c>
      <c r="D37" t="s">
        <v>40</v>
      </c>
      <c r="E37" t="s">
        <v>200</v>
      </c>
      <c r="F37" t="s">
        <v>201</v>
      </c>
    </row>
    <row r="38" spans="1:6" x14ac:dyDescent="0.25">
      <c r="A38" t="s">
        <v>243</v>
      </c>
      <c r="B38" t="s">
        <v>1</v>
      </c>
      <c r="C38" t="s">
        <v>202</v>
      </c>
      <c r="D38" t="s">
        <v>40</v>
      </c>
      <c r="E38" t="s">
        <v>203</v>
      </c>
      <c r="F38" t="s">
        <v>204</v>
      </c>
    </row>
    <row r="39" spans="1:6" x14ac:dyDescent="0.25">
      <c r="A39" t="s">
        <v>243</v>
      </c>
      <c r="B39" t="s">
        <v>34</v>
      </c>
      <c r="C39" t="s">
        <v>205</v>
      </c>
      <c r="D39" t="s">
        <v>40</v>
      </c>
      <c r="E39" t="s">
        <v>206</v>
      </c>
      <c r="F39" t="s">
        <v>207</v>
      </c>
    </row>
    <row r="40" spans="1:6" x14ac:dyDescent="0.25">
      <c r="A40" t="s">
        <v>243</v>
      </c>
      <c r="B40" t="s">
        <v>35</v>
      </c>
      <c r="C40" t="s">
        <v>205</v>
      </c>
      <c r="D40" t="s">
        <v>40</v>
      </c>
      <c r="E40" t="s">
        <v>208</v>
      </c>
      <c r="F40" t="s">
        <v>207</v>
      </c>
    </row>
    <row r="41" spans="1:6" x14ac:dyDescent="0.25">
      <c r="A41" t="s">
        <v>243</v>
      </c>
      <c r="B41" t="s">
        <v>209</v>
      </c>
      <c r="C41" t="s">
        <v>210</v>
      </c>
      <c r="D41" t="s">
        <v>40</v>
      </c>
      <c r="E41" t="s">
        <v>211</v>
      </c>
      <c r="F41" t="s">
        <v>233</v>
      </c>
    </row>
    <row r="42" spans="1:6" x14ac:dyDescent="0.25">
      <c r="A42" t="s">
        <v>243</v>
      </c>
      <c r="B42" t="s">
        <v>213</v>
      </c>
      <c r="C42" t="s">
        <v>214</v>
      </c>
      <c r="D42" t="s">
        <v>215</v>
      </c>
      <c r="E42" t="s">
        <v>216</v>
      </c>
      <c r="F42" t="s">
        <v>217</v>
      </c>
    </row>
    <row r="43" spans="1:6" x14ac:dyDescent="0.25">
      <c r="A43" t="s">
        <v>243</v>
      </c>
      <c r="B43" t="s">
        <v>244</v>
      </c>
      <c r="C43" t="s">
        <v>210</v>
      </c>
      <c r="D43" t="s">
        <v>40</v>
      </c>
      <c r="E43" t="s">
        <v>211</v>
      </c>
      <c r="F43" t="s">
        <v>233</v>
      </c>
    </row>
    <row r="44" spans="1:6" x14ac:dyDescent="0.25">
      <c r="A44" t="s">
        <v>243</v>
      </c>
      <c r="B44" t="s">
        <v>245</v>
      </c>
      <c r="C44" t="s">
        <v>214</v>
      </c>
      <c r="D44" t="s">
        <v>215</v>
      </c>
      <c r="E44" t="s">
        <v>216</v>
      </c>
      <c r="F44" t="s">
        <v>217</v>
      </c>
    </row>
    <row r="45" spans="1:6" x14ac:dyDescent="0.25">
      <c r="A45" t="s">
        <v>243</v>
      </c>
      <c r="B45" t="s">
        <v>223</v>
      </c>
      <c r="C45" t="s">
        <v>210</v>
      </c>
      <c r="D45" t="s">
        <v>40</v>
      </c>
      <c r="E45" t="s">
        <v>211</v>
      </c>
      <c r="F45" t="s">
        <v>246</v>
      </c>
    </row>
    <row r="46" spans="1:6" x14ac:dyDescent="0.25">
      <c r="A46" t="s">
        <v>243</v>
      </c>
      <c r="B46" t="s">
        <v>224</v>
      </c>
      <c r="C46" t="s">
        <v>214</v>
      </c>
      <c r="D46" t="s">
        <v>215</v>
      </c>
      <c r="E46" t="s">
        <v>216</v>
      </c>
      <c r="F46" t="s">
        <v>217</v>
      </c>
    </row>
    <row r="47" spans="1:6" x14ac:dyDescent="0.25">
      <c r="A47" t="s">
        <v>243</v>
      </c>
      <c r="B47" t="s">
        <v>247</v>
      </c>
      <c r="C47" t="s">
        <v>210</v>
      </c>
      <c r="D47" t="s">
        <v>40</v>
      </c>
      <c r="E47" t="s">
        <v>211</v>
      </c>
      <c r="F47" t="s">
        <v>233</v>
      </c>
    </row>
    <row r="48" spans="1:6" x14ac:dyDescent="0.25">
      <c r="A48" t="s">
        <v>243</v>
      </c>
      <c r="B48" t="s">
        <v>248</v>
      </c>
      <c r="C48" t="s">
        <v>214</v>
      </c>
      <c r="D48" t="s">
        <v>215</v>
      </c>
      <c r="E48" t="s">
        <v>216</v>
      </c>
      <c r="F48" t="s">
        <v>217</v>
      </c>
    </row>
    <row r="49" spans="1:6" x14ac:dyDescent="0.25">
      <c r="A49" t="s">
        <v>243</v>
      </c>
      <c r="B49" t="s">
        <v>249</v>
      </c>
      <c r="C49" t="s">
        <v>210</v>
      </c>
      <c r="D49" t="s">
        <v>40</v>
      </c>
      <c r="E49" t="s">
        <v>211</v>
      </c>
      <c r="F49" t="s">
        <v>246</v>
      </c>
    </row>
    <row r="50" spans="1:6" x14ac:dyDescent="0.25">
      <c r="A50" t="s">
        <v>243</v>
      </c>
      <c r="B50" t="s">
        <v>250</v>
      </c>
      <c r="C50" t="s">
        <v>214</v>
      </c>
      <c r="D50" t="s">
        <v>215</v>
      </c>
      <c r="E50" t="s">
        <v>216</v>
      </c>
      <c r="F50" t="s">
        <v>217</v>
      </c>
    </row>
    <row r="51" spans="1:6" x14ac:dyDescent="0.25">
      <c r="A51" t="s">
        <v>243</v>
      </c>
      <c r="B51" t="s">
        <v>251</v>
      </c>
      <c r="C51" t="s">
        <v>210</v>
      </c>
      <c r="D51" t="s">
        <v>40</v>
      </c>
      <c r="E51" t="s">
        <v>211</v>
      </c>
      <c r="F51" t="s">
        <v>233</v>
      </c>
    </row>
    <row r="52" spans="1:6" x14ac:dyDescent="0.25">
      <c r="A52" t="s">
        <v>243</v>
      </c>
      <c r="B52" t="s">
        <v>252</v>
      </c>
      <c r="C52" t="s">
        <v>214</v>
      </c>
      <c r="D52" t="s">
        <v>215</v>
      </c>
      <c r="E52" t="s">
        <v>216</v>
      </c>
      <c r="F52" t="s">
        <v>217</v>
      </c>
    </row>
    <row r="53" spans="1:6" x14ac:dyDescent="0.25">
      <c r="A53" t="s">
        <v>253</v>
      </c>
      <c r="B53" t="s">
        <v>33</v>
      </c>
      <c r="C53" t="s">
        <v>196</v>
      </c>
      <c r="D53" t="s">
        <v>40</v>
      </c>
      <c r="E53" t="s">
        <v>197</v>
      </c>
      <c r="F53" t="s">
        <v>198</v>
      </c>
    </row>
    <row r="54" spans="1:6" x14ac:dyDescent="0.25">
      <c r="A54" t="s">
        <v>253</v>
      </c>
      <c r="B54" t="s">
        <v>60</v>
      </c>
      <c r="C54" t="s">
        <v>199</v>
      </c>
      <c r="D54" t="s">
        <v>40</v>
      </c>
      <c r="E54" t="s">
        <v>200</v>
      </c>
      <c r="F54" t="s">
        <v>201</v>
      </c>
    </row>
    <row r="55" spans="1:6" x14ac:dyDescent="0.25">
      <c r="A55" t="s">
        <v>253</v>
      </c>
      <c r="B55" t="s">
        <v>1</v>
      </c>
      <c r="C55" t="s">
        <v>202</v>
      </c>
      <c r="D55" t="s">
        <v>40</v>
      </c>
      <c r="E55" t="s">
        <v>203</v>
      </c>
      <c r="F55" t="s">
        <v>204</v>
      </c>
    </row>
    <row r="56" spans="1:6" x14ac:dyDescent="0.25">
      <c r="A56" t="s">
        <v>253</v>
      </c>
      <c r="B56" t="s">
        <v>34</v>
      </c>
      <c r="C56" t="s">
        <v>205</v>
      </c>
      <c r="D56" t="s">
        <v>40</v>
      </c>
      <c r="E56" t="s">
        <v>206</v>
      </c>
      <c r="F56" t="s">
        <v>207</v>
      </c>
    </row>
    <row r="57" spans="1:6" x14ac:dyDescent="0.25">
      <c r="A57" t="s">
        <v>253</v>
      </c>
      <c r="B57" t="s">
        <v>35</v>
      </c>
      <c r="C57" t="s">
        <v>205</v>
      </c>
      <c r="D57" t="s">
        <v>40</v>
      </c>
      <c r="E57" t="s">
        <v>208</v>
      </c>
      <c r="F57" t="s">
        <v>207</v>
      </c>
    </row>
    <row r="58" spans="1:6" x14ac:dyDescent="0.25">
      <c r="A58" t="s">
        <v>253</v>
      </c>
      <c r="B58" t="s">
        <v>254</v>
      </c>
      <c r="C58" t="s">
        <v>210</v>
      </c>
      <c r="D58" t="s">
        <v>40</v>
      </c>
      <c r="E58" t="s">
        <v>211</v>
      </c>
      <c r="F58" t="s">
        <v>246</v>
      </c>
    </row>
    <row r="59" spans="1:6" x14ac:dyDescent="0.25">
      <c r="A59" t="s">
        <v>253</v>
      </c>
      <c r="B59" t="s">
        <v>255</v>
      </c>
      <c r="C59" t="s">
        <v>214</v>
      </c>
      <c r="D59" t="s">
        <v>215</v>
      </c>
      <c r="E59" t="s">
        <v>216</v>
      </c>
      <c r="F59" t="s">
        <v>217</v>
      </c>
    </row>
    <row r="60" spans="1:6" x14ac:dyDescent="0.25">
      <c r="A60" t="s">
        <v>253</v>
      </c>
      <c r="B60" t="s">
        <v>256</v>
      </c>
      <c r="C60" t="s">
        <v>210</v>
      </c>
      <c r="D60" t="s">
        <v>40</v>
      </c>
      <c r="E60" t="s">
        <v>211</v>
      </c>
      <c r="F60" t="s">
        <v>246</v>
      </c>
    </row>
    <row r="61" spans="1:6" x14ac:dyDescent="0.25">
      <c r="A61" t="s">
        <v>253</v>
      </c>
      <c r="B61" t="s">
        <v>257</v>
      </c>
      <c r="C61" t="s">
        <v>214</v>
      </c>
      <c r="D61" t="s">
        <v>215</v>
      </c>
      <c r="E61" t="s">
        <v>216</v>
      </c>
      <c r="F61" t="s">
        <v>217</v>
      </c>
    </row>
    <row r="62" spans="1:6" x14ac:dyDescent="0.25">
      <c r="A62" t="s">
        <v>253</v>
      </c>
      <c r="B62" t="s">
        <v>258</v>
      </c>
      <c r="C62" t="s">
        <v>210</v>
      </c>
      <c r="D62" t="s">
        <v>40</v>
      </c>
      <c r="E62" t="s">
        <v>211</v>
      </c>
      <c r="F62" t="s">
        <v>246</v>
      </c>
    </row>
    <row r="63" spans="1:6" x14ac:dyDescent="0.25">
      <c r="A63" t="s">
        <v>253</v>
      </c>
      <c r="B63" t="s">
        <v>259</v>
      </c>
      <c r="C63" t="s">
        <v>214</v>
      </c>
      <c r="D63" t="s">
        <v>215</v>
      </c>
      <c r="E63" t="s">
        <v>216</v>
      </c>
      <c r="F63" t="s">
        <v>217</v>
      </c>
    </row>
    <row r="64" spans="1:6" x14ac:dyDescent="0.25">
      <c r="A64" t="s">
        <v>253</v>
      </c>
      <c r="B64" t="s">
        <v>260</v>
      </c>
      <c r="C64" t="s">
        <v>210</v>
      </c>
      <c r="D64" t="s">
        <v>40</v>
      </c>
      <c r="E64" t="s">
        <v>211</v>
      </c>
      <c r="F64" t="s">
        <v>246</v>
      </c>
    </row>
    <row r="65" spans="1:6" x14ac:dyDescent="0.25">
      <c r="A65" t="s">
        <v>253</v>
      </c>
      <c r="B65" t="s">
        <v>261</v>
      </c>
      <c r="C65" t="s">
        <v>214</v>
      </c>
      <c r="D65" t="s">
        <v>215</v>
      </c>
      <c r="E65" t="s">
        <v>216</v>
      </c>
      <c r="F65" t="s">
        <v>217</v>
      </c>
    </row>
    <row r="66" spans="1:6" x14ac:dyDescent="0.25">
      <c r="A66" t="s">
        <v>253</v>
      </c>
      <c r="B66" t="s">
        <v>262</v>
      </c>
      <c r="C66" t="s">
        <v>210</v>
      </c>
      <c r="D66" t="s">
        <v>40</v>
      </c>
      <c r="E66" t="s">
        <v>211</v>
      </c>
      <c r="F66" t="s">
        <v>212</v>
      </c>
    </row>
    <row r="67" spans="1:6" x14ac:dyDescent="0.25">
      <c r="A67" t="s">
        <v>253</v>
      </c>
      <c r="B67" t="s">
        <v>263</v>
      </c>
      <c r="C67" t="s">
        <v>214</v>
      </c>
      <c r="D67" t="s">
        <v>215</v>
      </c>
      <c r="E67" t="s">
        <v>216</v>
      </c>
      <c r="F67" t="s">
        <v>217</v>
      </c>
    </row>
    <row r="68" spans="1:6" x14ac:dyDescent="0.25">
      <c r="A68" t="s">
        <v>253</v>
      </c>
      <c r="B68" t="s">
        <v>264</v>
      </c>
      <c r="C68" t="s">
        <v>210</v>
      </c>
      <c r="D68" t="s">
        <v>40</v>
      </c>
      <c r="E68" t="s">
        <v>211</v>
      </c>
      <c r="F68" t="s">
        <v>246</v>
      </c>
    </row>
    <row r="69" spans="1:6" x14ac:dyDescent="0.25">
      <c r="A69" t="s">
        <v>253</v>
      </c>
      <c r="B69" t="s">
        <v>265</v>
      </c>
      <c r="C69" t="s">
        <v>214</v>
      </c>
      <c r="D69" t="s">
        <v>215</v>
      </c>
      <c r="E69" t="s">
        <v>216</v>
      </c>
      <c r="F69" t="s">
        <v>217</v>
      </c>
    </row>
    <row r="70" spans="1:6" x14ac:dyDescent="0.25">
      <c r="A70" t="s">
        <v>253</v>
      </c>
      <c r="B70" t="s">
        <v>266</v>
      </c>
      <c r="C70" t="s">
        <v>210</v>
      </c>
      <c r="D70" t="s">
        <v>40</v>
      </c>
      <c r="E70" t="s">
        <v>211</v>
      </c>
      <c r="F70" t="s">
        <v>246</v>
      </c>
    </row>
    <row r="71" spans="1:6" x14ac:dyDescent="0.25">
      <c r="A71" t="s">
        <v>253</v>
      </c>
      <c r="B71" t="s">
        <v>267</v>
      </c>
      <c r="C71" t="s">
        <v>214</v>
      </c>
      <c r="D71" t="s">
        <v>215</v>
      </c>
      <c r="E71" t="s">
        <v>216</v>
      </c>
      <c r="F71" t="s">
        <v>217</v>
      </c>
    </row>
    <row r="72" spans="1:6" x14ac:dyDescent="0.25">
      <c r="A72" t="s">
        <v>253</v>
      </c>
      <c r="B72" t="s">
        <v>268</v>
      </c>
      <c r="C72" t="s">
        <v>210</v>
      </c>
      <c r="D72" t="s">
        <v>40</v>
      </c>
      <c r="E72" t="s">
        <v>211</v>
      </c>
      <c r="F72" t="s">
        <v>246</v>
      </c>
    </row>
    <row r="73" spans="1:6" x14ac:dyDescent="0.25">
      <c r="A73" t="s">
        <v>253</v>
      </c>
      <c r="B73" t="s">
        <v>269</v>
      </c>
      <c r="C73" t="s">
        <v>214</v>
      </c>
      <c r="D73" t="s">
        <v>215</v>
      </c>
      <c r="E73" t="s">
        <v>216</v>
      </c>
      <c r="F73" t="s">
        <v>217</v>
      </c>
    </row>
    <row r="74" spans="1:6" x14ac:dyDescent="0.25">
      <c r="A74" t="s">
        <v>253</v>
      </c>
      <c r="B74" t="s">
        <v>270</v>
      </c>
      <c r="C74" t="s">
        <v>210</v>
      </c>
      <c r="D74" t="s">
        <v>40</v>
      </c>
      <c r="E74" t="s">
        <v>211</v>
      </c>
      <c r="F74" t="s">
        <v>212</v>
      </c>
    </row>
    <row r="75" spans="1:6" x14ac:dyDescent="0.25">
      <c r="A75" t="s">
        <v>253</v>
      </c>
      <c r="B75" t="s">
        <v>271</v>
      </c>
      <c r="C75" t="s">
        <v>214</v>
      </c>
      <c r="D75" t="s">
        <v>215</v>
      </c>
      <c r="E75" t="s">
        <v>216</v>
      </c>
      <c r="F75" t="s">
        <v>217</v>
      </c>
    </row>
    <row r="76" spans="1:6" x14ac:dyDescent="0.25">
      <c r="A76" t="s">
        <v>272</v>
      </c>
      <c r="B76" t="s">
        <v>33</v>
      </c>
      <c r="C76" t="s">
        <v>196</v>
      </c>
      <c r="D76" t="s">
        <v>40</v>
      </c>
      <c r="E76" t="s">
        <v>197</v>
      </c>
      <c r="F76" t="s">
        <v>198</v>
      </c>
    </row>
    <row r="77" spans="1:6" x14ac:dyDescent="0.25">
      <c r="A77" t="s">
        <v>272</v>
      </c>
      <c r="B77" t="s">
        <v>60</v>
      </c>
      <c r="C77" t="s">
        <v>199</v>
      </c>
      <c r="D77" t="s">
        <v>40</v>
      </c>
      <c r="E77" t="s">
        <v>200</v>
      </c>
      <c r="F77" t="s">
        <v>201</v>
      </c>
    </row>
    <row r="78" spans="1:6" x14ac:dyDescent="0.25">
      <c r="A78" t="s">
        <v>272</v>
      </c>
      <c r="B78" t="s">
        <v>1</v>
      </c>
      <c r="C78" t="s">
        <v>202</v>
      </c>
      <c r="D78" t="s">
        <v>40</v>
      </c>
      <c r="E78" t="s">
        <v>203</v>
      </c>
      <c r="F78" t="s">
        <v>204</v>
      </c>
    </row>
    <row r="79" spans="1:6" x14ac:dyDescent="0.25">
      <c r="A79" t="s">
        <v>272</v>
      </c>
      <c r="B79" t="s">
        <v>34</v>
      </c>
      <c r="C79" t="s">
        <v>205</v>
      </c>
      <c r="D79" t="s">
        <v>40</v>
      </c>
      <c r="E79" t="s">
        <v>206</v>
      </c>
      <c r="F79" t="s">
        <v>207</v>
      </c>
    </row>
    <row r="80" spans="1:6" x14ac:dyDescent="0.25">
      <c r="A80" t="s">
        <v>272</v>
      </c>
      <c r="B80" t="s">
        <v>35</v>
      </c>
      <c r="C80" t="s">
        <v>205</v>
      </c>
      <c r="D80" t="s">
        <v>40</v>
      </c>
      <c r="E80" t="s">
        <v>208</v>
      </c>
      <c r="F80" t="s">
        <v>207</v>
      </c>
    </row>
    <row r="81" spans="1:6" x14ac:dyDescent="0.25">
      <c r="A81" t="s">
        <v>272</v>
      </c>
      <c r="B81" t="s">
        <v>273</v>
      </c>
      <c r="C81" t="s">
        <v>210</v>
      </c>
      <c r="D81" t="s">
        <v>40</v>
      </c>
      <c r="E81" t="s">
        <v>211</v>
      </c>
      <c r="F81" t="s">
        <v>274</v>
      </c>
    </row>
    <row r="82" spans="1:6" x14ac:dyDescent="0.25">
      <c r="A82" t="s">
        <v>272</v>
      </c>
      <c r="B82" t="s">
        <v>275</v>
      </c>
      <c r="C82" t="s">
        <v>214</v>
      </c>
      <c r="D82" t="s">
        <v>215</v>
      </c>
      <c r="E82" t="s">
        <v>216</v>
      </c>
      <c r="F82" t="s">
        <v>217</v>
      </c>
    </row>
    <row r="83" spans="1:6" x14ac:dyDescent="0.25">
      <c r="A83" t="s">
        <v>272</v>
      </c>
      <c r="B83" t="s">
        <v>262</v>
      </c>
      <c r="C83" t="s">
        <v>210</v>
      </c>
      <c r="D83" t="s">
        <v>40</v>
      </c>
      <c r="E83" t="s">
        <v>211</v>
      </c>
      <c r="F83" t="s">
        <v>274</v>
      </c>
    </row>
    <row r="84" spans="1:6" x14ac:dyDescent="0.25">
      <c r="A84" t="s">
        <v>272</v>
      </c>
      <c r="B84" t="s">
        <v>263</v>
      </c>
      <c r="C84" t="s">
        <v>214</v>
      </c>
      <c r="D84" t="s">
        <v>215</v>
      </c>
      <c r="E84" t="s">
        <v>216</v>
      </c>
      <c r="F84" t="s">
        <v>217</v>
      </c>
    </row>
    <row r="85" spans="1:6" x14ac:dyDescent="0.25">
      <c r="A85" t="s">
        <v>272</v>
      </c>
      <c r="B85" t="s">
        <v>276</v>
      </c>
      <c r="C85" t="s">
        <v>210</v>
      </c>
      <c r="D85" t="s">
        <v>40</v>
      </c>
      <c r="E85" t="s">
        <v>211</v>
      </c>
      <c r="F85" t="s">
        <v>274</v>
      </c>
    </row>
    <row r="86" spans="1:6" x14ac:dyDescent="0.25">
      <c r="A86" t="s">
        <v>272</v>
      </c>
      <c r="B86" t="s">
        <v>277</v>
      </c>
      <c r="C86" t="s">
        <v>214</v>
      </c>
      <c r="D86" t="s">
        <v>215</v>
      </c>
      <c r="E86" t="s">
        <v>216</v>
      </c>
      <c r="F86" t="s">
        <v>217</v>
      </c>
    </row>
    <row r="87" spans="1:6" x14ac:dyDescent="0.25">
      <c r="A87" t="s">
        <v>272</v>
      </c>
      <c r="B87" t="s">
        <v>278</v>
      </c>
      <c r="C87" t="s">
        <v>210</v>
      </c>
      <c r="D87" t="s">
        <v>40</v>
      </c>
      <c r="E87" t="s">
        <v>211</v>
      </c>
      <c r="F87" t="s">
        <v>274</v>
      </c>
    </row>
    <row r="88" spans="1:6" x14ac:dyDescent="0.25">
      <c r="A88" t="s">
        <v>272</v>
      </c>
      <c r="B88" t="s">
        <v>279</v>
      </c>
      <c r="C88" t="s">
        <v>214</v>
      </c>
      <c r="D88" t="s">
        <v>215</v>
      </c>
      <c r="E88" t="s">
        <v>216</v>
      </c>
      <c r="F88" t="s">
        <v>217</v>
      </c>
    </row>
    <row r="89" spans="1:6" x14ac:dyDescent="0.25">
      <c r="A89" t="s">
        <v>280</v>
      </c>
      <c r="B89" t="s">
        <v>33</v>
      </c>
      <c r="C89" t="s">
        <v>196</v>
      </c>
      <c r="D89" t="s">
        <v>40</v>
      </c>
      <c r="E89" t="s">
        <v>197</v>
      </c>
      <c r="F89" t="s">
        <v>198</v>
      </c>
    </row>
    <row r="90" spans="1:6" x14ac:dyDescent="0.25">
      <c r="A90" t="s">
        <v>280</v>
      </c>
      <c r="B90" t="s">
        <v>60</v>
      </c>
      <c r="C90" t="s">
        <v>199</v>
      </c>
      <c r="D90" t="s">
        <v>40</v>
      </c>
      <c r="E90" t="s">
        <v>200</v>
      </c>
      <c r="F90" t="s">
        <v>201</v>
      </c>
    </row>
    <row r="91" spans="1:6" x14ac:dyDescent="0.25">
      <c r="A91" t="s">
        <v>280</v>
      </c>
      <c r="B91" t="s">
        <v>1</v>
      </c>
      <c r="C91" t="s">
        <v>202</v>
      </c>
      <c r="D91" t="s">
        <v>40</v>
      </c>
      <c r="E91" t="s">
        <v>203</v>
      </c>
      <c r="F91" t="s">
        <v>204</v>
      </c>
    </row>
    <row r="92" spans="1:6" x14ac:dyDescent="0.25">
      <c r="A92" t="s">
        <v>280</v>
      </c>
      <c r="B92" t="s">
        <v>34</v>
      </c>
      <c r="C92" t="s">
        <v>205</v>
      </c>
      <c r="D92" t="s">
        <v>40</v>
      </c>
      <c r="E92" t="s">
        <v>206</v>
      </c>
      <c r="F92" t="s">
        <v>207</v>
      </c>
    </row>
    <row r="93" spans="1:6" x14ac:dyDescent="0.25">
      <c r="A93" t="s">
        <v>280</v>
      </c>
      <c r="B93" t="s">
        <v>35</v>
      </c>
      <c r="C93" t="s">
        <v>205</v>
      </c>
      <c r="D93" t="s">
        <v>40</v>
      </c>
      <c r="E93" t="s">
        <v>208</v>
      </c>
      <c r="F93" t="s">
        <v>207</v>
      </c>
    </row>
    <row r="94" spans="1:6" x14ac:dyDescent="0.25">
      <c r="A94" t="s">
        <v>280</v>
      </c>
      <c r="B94" t="s">
        <v>209</v>
      </c>
      <c r="C94" t="s">
        <v>210</v>
      </c>
      <c r="D94" t="s">
        <v>40</v>
      </c>
      <c r="E94" t="s">
        <v>211</v>
      </c>
      <c r="F94" t="s">
        <v>246</v>
      </c>
    </row>
    <row r="95" spans="1:6" x14ac:dyDescent="0.25">
      <c r="A95" t="s">
        <v>280</v>
      </c>
      <c r="B95" t="s">
        <v>213</v>
      </c>
      <c r="C95" t="s">
        <v>214</v>
      </c>
      <c r="D95" t="s">
        <v>215</v>
      </c>
      <c r="E95" t="s">
        <v>216</v>
      </c>
      <c r="F95" t="s">
        <v>217</v>
      </c>
    </row>
    <row r="96" spans="1:6" x14ac:dyDescent="0.25">
      <c r="A96" t="s">
        <v>280</v>
      </c>
      <c r="B96" t="s">
        <v>244</v>
      </c>
      <c r="C96" t="s">
        <v>210</v>
      </c>
      <c r="D96" t="s">
        <v>40</v>
      </c>
      <c r="E96" t="s">
        <v>211</v>
      </c>
      <c r="F96" t="s">
        <v>246</v>
      </c>
    </row>
    <row r="97" spans="1:6" x14ac:dyDescent="0.25">
      <c r="A97" t="s">
        <v>280</v>
      </c>
      <c r="B97" t="s">
        <v>245</v>
      </c>
      <c r="C97" t="s">
        <v>214</v>
      </c>
      <c r="D97" t="s">
        <v>215</v>
      </c>
      <c r="E97" t="s">
        <v>216</v>
      </c>
      <c r="F97" t="s">
        <v>217</v>
      </c>
    </row>
    <row r="98" spans="1:6" x14ac:dyDescent="0.25">
      <c r="A98" t="s">
        <v>280</v>
      </c>
      <c r="B98" t="s">
        <v>281</v>
      </c>
      <c r="C98" t="s">
        <v>210</v>
      </c>
      <c r="D98" t="s">
        <v>40</v>
      </c>
      <c r="E98" t="s">
        <v>211</v>
      </c>
      <c r="F98" t="s">
        <v>246</v>
      </c>
    </row>
    <row r="99" spans="1:6" x14ac:dyDescent="0.25">
      <c r="A99" t="s">
        <v>280</v>
      </c>
      <c r="B99" t="s">
        <v>282</v>
      </c>
      <c r="C99" t="s">
        <v>214</v>
      </c>
      <c r="D99" t="s">
        <v>215</v>
      </c>
      <c r="E99" t="s">
        <v>216</v>
      </c>
      <c r="F99" t="s">
        <v>217</v>
      </c>
    </row>
    <row r="100" spans="1:6" x14ac:dyDescent="0.25">
      <c r="A100" t="s">
        <v>280</v>
      </c>
      <c r="B100" t="s">
        <v>247</v>
      </c>
      <c r="C100" t="s">
        <v>210</v>
      </c>
      <c r="D100" t="s">
        <v>40</v>
      </c>
      <c r="E100" t="s">
        <v>211</v>
      </c>
      <c r="F100" t="s">
        <v>246</v>
      </c>
    </row>
    <row r="101" spans="1:6" x14ac:dyDescent="0.25">
      <c r="A101" t="s">
        <v>280</v>
      </c>
      <c r="B101" t="s">
        <v>248</v>
      </c>
      <c r="C101" t="s">
        <v>214</v>
      </c>
      <c r="D101" t="s">
        <v>215</v>
      </c>
      <c r="E101" t="s">
        <v>216</v>
      </c>
      <c r="F101" t="s">
        <v>217</v>
      </c>
    </row>
    <row r="102" spans="1:6" x14ac:dyDescent="0.25">
      <c r="A102" t="s">
        <v>280</v>
      </c>
      <c r="B102" t="s">
        <v>249</v>
      </c>
      <c r="C102" t="s">
        <v>210</v>
      </c>
      <c r="D102" t="s">
        <v>40</v>
      </c>
      <c r="E102" t="s">
        <v>211</v>
      </c>
      <c r="F102" t="s">
        <v>246</v>
      </c>
    </row>
    <row r="103" spans="1:6" x14ac:dyDescent="0.25">
      <c r="A103" t="s">
        <v>280</v>
      </c>
      <c r="B103" t="s">
        <v>250</v>
      </c>
      <c r="C103" t="s">
        <v>214</v>
      </c>
      <c r="D103" t="s">
        <v>215</v>
      </c>
      <c r="E103" t="s">
        <v>216</v>
      </c>
      <c r="F103" t="s">
        <v>217</v>
      </c>
    </row>
    <row r="104" spans="1:6" x14ac:dyDescent="0.25">
      <c r="A104" t="s">
        <v>280</v>
      </c>
      <c r="B104" t="s">
        <v>283</v>
      </c>
      <c r="C104" t="s">
        <v>210</v>
      </c>
      <c r="D104" t="s">
        <v>40</v>
      </c>
      <c r="E104" t="s">
        <v>211</v>
      </c>
      <c r="F104" t="s">
        <v>246</v>
      </c>
    </row>
    <row r="105" spans="1:6" x14ac:dyDescent="0.25">
      <c r="A105" t="s">
        <v>280</v>
      </c>
      <c r="B105" t="s">
        <v>284</v>
      </c>
      <c r="C105" t="s">
        <v>214</v>
      </c>
      <c r="D105" t="s">
        <v>215</v>
      </c>
      <c r="E105" t="s">
        <v>216</v>
      </c>
      <c r="F105" t="s">
        <v>217</v>
      </c>
    </row>
    <row r="106" spans="1:6" x14ac:dyDescent="0.25">
      <c r="A106" t="s">
        <v>280</v>
      </c>
      <c r="B106" t="s">
        <v>285</v>
      </c>
      <c r="C106" t="s">
        <v>210</v>
      </c>
      <c r="D106" t="s">
        <v>40</v>
      </c>
      <c r="E106" t="s">
        <v>211</v>
      </c>
      <c r="F106" t="s">
        <v>246</v>
      </c>
    </row>
    <row r="107" spans="1:6" x14ac:dyDescent="0.25">
      <c r="A107" t="s">
        <v>280</v>
      </c>
      <c r="B107" t="s">
        <v>286</v>
      </c>
      <c r="C107" t="s">
        <v>214</v>
      </c>
      <c r="D107" t="s">
        <v>215</v>
      </c>
      <c r="E107" t="s">
        <v>216</v>
      </c>
      <c r="F107" t="s">
        <v>217</v>
      </c>
    </row>
    <row r="108" spans="1:6" x14ac:dyDescent="0.25">
      <c r="A108" t="s">
        <v>280</v>
      </c>
      <c r="B108" t="s">
        <v>287</v>
      </c>
      <c r="C108" t="s">
        <v>210</v>
      </c>
      <c r="D108" t="s">
        <v>40</v>
      </c>
      <c r="E108" t="s">
        <v>211</v>
      </c>
      <c r="F108" t="s">
        <v>246</v>
      </c>
    </row>
    <row r="109" spans="1:6" x14ac:dyDescent="0.25">
      <c r="A109" t="s">
        <v>280</v>
      </c>
      <c r="B109" t="s">
        <v>288</v>
      </c>
      <c r="C109" t="s">
        <v>214</v>
      </c>
      <c r="D109" t="s">
        <v>215</v>
      </c>
      <c r="E109" t="s">
        <v>216</v>
      </c>
      <c r="F109" t="s">
        <v>217</v>
      </c>
    </row>
    <row r="110" spans="1:6" x14ac:dyDescent="0.25">
      <c r="A110" t="s">
        <v>280</v>
      </c>
      <c r="B110" t="s">
        <v>289</v>
      </c>
      <c r="C110" t="s">
        <v>210</v>
      </c>
      <c r="D110" t="s">
        <v>40</v>
      </c>
      <c r="E110" t="s">
        <v>211</v>
      </c>
      <c r="F110" t="s">
        <v>246</v>
      </c>
    </row>
    <row r="111" spans="1:6" x14ac:dyDescent="0.25">
      <c r="A111" t="s">
        <v>280</v>
      </c>
      <c r="B111" t="s">
        <v>290</v>
      </c>
      <c r="C111" t="s">
        <v>214</v>
      </c>
      <c r="D111" t="s">
        <v>215</v>
      </c>
      <c r="E111" t="s">
        <v>216</v>
      </c>
      <c r="F111" t="s">
        <v>217</v>
      </c>
    </row>
    <row r="112" spans="1:6" x14ac:dyDescent="0.25">
      <c r="A112" t="s">
        <v>280</v>
      </c>
      <c r="B112" t="s">
        <v>291</v>
      </c>
      <c r="C112" t="s">
        <v>210</v>
      </c>
      <c r="D112" t="s">
        <v>40</v>
      </c>
      <c r="E112" t="s">
        <v>211</v>
      </c>
      <c r="F112" t="s">
        <v>246</v>
      </c>
    </row>
    <row r="113" spans="1:6" x14ac:dyDescent="0.25">
      <c r="A113" t="s">
        <v>280</v>
      </c>
      <c r="B113" t="s">
        <v>292</v>
      </c>
      <c r="C113" t="s">
        <v>214</v>
      </c>
      <c r="D113" t="s">
        <v>215</v>
      </c>
      <c r="E113" t="s">
        <v>216</v>
      </c>
      <c r="F113" t="s">
        <v>217</v>
      </c>
    </row>
    <row r="114" spans="1:6" x14ac:dyDescent="0.25">
      <c r="A114" t="s">
        <v>293</v>
      </c>
      <c r="B114" t="s">
        <v>33</v>
      </c>
      <c r="C114" t="s">
        <v>196</v>
      </c>
      <c r="D114" t="s">
        <v>40</v>
      </c>
      <c r="E114" t="s">
        <v>197</v>
      </c>
      <c r="F114" t="s">
        <v>198</v>
      </c>
    </row>
    <row r="115" spans="1:6" x14ac:dyDescent="0.25">
      <c r="A115" t="s">
        <v>293</v>
      </c>
      <c r="B115" t="s">
        <v>60</v>
      </c>
      <c r="C115" t="s">
        <v>199</v>
      </c>
      <c r="D115" t="s">
        <v>40</v>
      </c>
      <c r="E115" t="s">
        <v>200</v>
      </c>
      <c r="F115" t="s">
        <v>201</v>
      </c>
    </row>
    <row r="116" spans="1:6" x14ac:dyDescent="0.25">
      <c r="A116" t="s">
        <v>293</v>
      </c>
      <c r="B116" t="s">
        <v>1</v>
      </c>
      <c r="C116" t="s">
        <v>202</v>
      </c>
      <c r="D116" t="s">
        <v>40</v>
      </c>
      <c r="E116" t="s">
        <v>203</v>
      </c>
      <c r="F116" t="s">
        <v>204</v>
      </c>
    </row>
    <row r="117" spans="1:6" x14ac:dyDescent="0.25">
      <c r="A117" t="s">
        <v>293</v>
      </c>
      <c r="B117" t="s">
        <v>34</v>
      </c>
      <c r="C117" t="s">
        <v>205</v>
      </c>
      <c r="D117" t="s">
        <v>40</v>
      </c>
      <c r="E117" t="s">
        <v>206</v>
      </c>
      <c r="F117" t="s">
        <v>207</v>
      </c>
    </row>
    <row r="118" spans="1:6" x14ac:dyDescent="0.25">
      <c r="A118" t="s">
        <v>293</v>
      </c>
      <c r="B118" t="s">
        <v>35</v>
      </c>
      <c r="C118" t="s">
        <v>205</v>
      </c>
      <c r="D118" t="s">
        <v>40</v>
      </c>
      <c r="E118" t="s">
        <v>208</v>
      </c>
      <c r="F118" t="s">
        <v>207</v>
      </c>
    </row>
    <row r="119" spans="1:6" x14ac:dyDescent="0.25">
      <c r="A119" t="s">
        <v>293</v>
      </c>
      <c r="B119" t="s">
        <v>294</v>
      </c>
      <c r="C119" t="s">
        <v>210</v>
      </c>
      <c r="D119" t="s">
        <v>40</v>
      </c>
      <c r="E119" t="s">
        <v>211</v>
      </c>
      <c r="F119" t="s">
        <v>212</v>
      </c>
    </row>
    <row r="120" spans="1:6" x14ac:dyDescent="0.25">
      <c r="A120" t="s">
        <v>293</v>
      </c>
      <c r="B120" t="s">
        <v>295</v>
      </c>
      <c r="C120" t="s">
        <v>214</v>
      </c>
      <c r="D120" t="s">
        <v>215</v>
      </c>
      <c r="E120" t="s">
        <v>216</v>
      </c>
      <c r="F120" t="s">
        <v>217</v>
      </c>
    </row>
    <row r="121" spans="1:6" x14ac:dyDescent="0.25">
      <c r="A121" t="s">
        <v>293</v>
      </c>
      <c r="B121" t="s">
        <v>296</v>
      </c>
      <c r="C121" t="s">
        <v>210</v>
      </c>
      <c r="D121" t="s">
        <v>40</v>
      </c>
      <c r="E121" t="s">
        <v>211</v>
      </c>
      <c r="F121" t="s">
        <v>246</v>
      </c>
    </row>
    <row r="122" spans="1:6" x14ac:dyDescent="0.25">
      <c r="A122" t="s">
        <v>293</v>
      </c>
      <c r="B122" t="s">
        <v>297</v>
      </c>
      <c r="C122" t="s">
        <v>214</v>
      </c>
      <c r="D122" t="s">
        <v>215</v>
      </c>
      <c r="E122" t="s">
        <v>216</v>
      </c>
      <c r="F122" t="s">
        <v>217</v>
      </c>
    </row>
    <row r="123" spans="1:6" x14ac:dyDescent="0.25">
      <c r="A123" t="s">
        <v>293</v>
      </c>
      <c r="B123" t="s">
        <v>298</v>
      </c>
      <c r="C123" t="s">
        <v>210</v>
      </c>
      <c r="D123" t="s">
        <v>40</v>
      </c>
      <c r="E123" t="s">
        <v>211</v>
      </c>
      <c r="F123" t="s">
        <v>246</v>
      </c>
    </row>
    <row r="124" spans="1:6" x14ac:dyDescent="0.25">
      <c r="A124" t="s">
        <v>293</v>
      </c>
      <c r="B124" t="s">
        <v>299</v>
      </c>
      <c r="C124" t="s">
        <v>214</v>
      </c>
      <c r="D124" t="s">
        <v>215</v>
      </c>
      <c r="E124" t="s">
        <v>216</v>
      </c>
      <c r="F124" t="s">
        <v>217</v>
      </c>
    </row>
    <row r="125" spans="1:6" x14ac:dyDescent="0.25">
      <c r="A125" t="s">
        <v>293</v>
      </c>
      <c r="B125" t="s">
        <v>300</v>
      </c>
      <c r="C125" t="s">
        <v>210</v>
      </c>
      <c r="D125" t="s">
        <v>40</v>
      </c>
      <c r="E125" t="s">
        <v>211</v>
      </c>
      <c r="F125" t="s">
        <v>246</v>
      </c>
    </row>
    <row r="126" spans="1:6" x14ac:dyDescent="0.25">
      <c r="A126" t="s">
        <v>293</v>
      </c>
      <c r="B126" t="s">
        <v>301</v>
      </c>
      <c r="C126" t="s">
        <v>214</v>
      </c>
      <c r="D126" t="s">
        <v>215</v>
      </c>
      <c r="E126" t="s">
        <v>216</v>
      </c>
      <c r="F126" t="s">
        <v>217</v>
      </c>
    </row>
    <row r="127" spans="1:6" x14ac:dyDescent="0.25">
      <c r="A127" t="s">
        <v>293</v>
      </c>
      <c r="B127" t="s">
        <v>302</v>
      </c>
      <c r="C127" t="s">
        <v>210</v>
      </c>
      <c r="D127" t="s">
        <v>40</v>
      </c>
      <c r="E127" t="s">
        <v>211</v>
      </c>
      <c r="F127" t="s">
        <v>246</v>
      </c>
    </row>
    <row r="128" spans="1:6" x14ac:dyDescent="0.25">
      <c r="A128" t="s">
        <v>293</v>
      </c>
      <c r="B128" t="s">
        <v>303</v>
      </c>
      <c r="C128" t="s">
        <v>214</v>
      </c>
      <c r="D128" t="s">
        <v>215</v>
      </c>
      <c r="E128" t="s">
        <v>216</v>
      </c>
      <c r="F128" t="s">
        <v>217</v>
      </c>
    </row>
    <row r="129" spans="1:6" x14ac:dyDescent="0.25">
      <c r="A129" t="s">
        <v>293</v>
      </c>
      <c r="B129" t="s">
        <v>304</v>
      </c>
      <c r="C129" t="s">
        <v>210</v>
      </c>
      <c r="D129" t="s">
        <v>40</v>
      </c>
      <c r="E129" t="s">
        <v>211</v>
      </c>
      <c r="F129" t="s">
        <v>212</v>
      </c>
    </row>
    <row r="130" spans="1:6" x14ac:dyDescent="0.25">
      <c r="A130" t="s">
        <v>293</v>
      </c>
      <c r="B130" t="s">
        <v>305</v>
      </c>
      <c r="C130" t="s">
        <v>214</v>
      </c>
      <c r="D130" t="s">
        <v>215</v>
      </c>
      <c r="E130" t="s">
        <v>216</v>
      </c>
      <c r="F130" t="s">
        <v>217</v>
      </c>
    </row>
    <row r="131" spans="1:6" x14ac:dyDescent="0.25">
      <c r="A131" t="s">
        <v>293</v>
      </c>
      <c r="B131" t="s">
        <v>306</v>
      </c>
      <c r="C131" t="s">
        <v>210</v>
      </c>
      <c r="D131" t="s">
        <v>40</v>
      </c>
      <c r="E131" t="s">
        <v>211</v>
      </c>
      <c r="F131" t="s">
        <v>246</v>
      </c>
    </row>
    <row r="132" spans="1:6" x14ac:dyDescent="0.25">
      <c r="A132" t="s">
        <v>293</v>
      </c>
      <c r="B132" t="s">
        <v>307</v>
      </c>
      <c r="C132" t="s">
        <v>214</v>
      </c>
      <c r="D132" t="s">
        <v>215</v>
      </c>
      <c r="E132" t="s">
        <v>216</v>
      </c>
      <c r="F132" t="s">
        <v>217</v>
      </c>
    </row>
    <row r="133" spans="1:6" x14ac:dyDescent="0.25">
      <c r="A133" t="s">
        <v>293</v>
      </c>
      <c r="B133" t="s">
        <v>262</v>
      </c>
      <c r="C133" t="s">
        <v>210</v>
      </c>
      <c r="D133" t="s">
        <v>40</v>
      </c>
      <c r="E133" t="s">
        <v>211</v>
      </c>
      <c r="F133" t="s">
        <v>246</v>
      </c>
    </row>
    <row r="134" spans="1:6" x14ac:dyDescent="0.25">
      <c r="A134" t="s">
        <v>293</v>
      </c>
      <c r="B134" t="s">
        <v>263</v>
      </c>
      <c r="C134" t="s">
        <v>214</v>
      </c>
      <c r="D134" t="s">
        <v>215</v>
      </c>
      <c r="E134" t="s">
        <v>216</v>
      </c>
      <c r="F134" t="s">
        <v>217</v>
      </c>
    </row>
    <row r="135" spans="1:6" x14ac:dyDescent="0.25">
      <c r="A135" t="s">
        <v>293</v>
      </c>
      <c r="B135" t="s">
        <v>308</v>
      </c>
      <c r="C135" t="s">
        <v>210</v>
      </c>
      <c r="D135" t="s">
        <v>40</v>
      </c>
      <c r="E135" t="s">
        <v>211</v>
      </c>
      <c r="F135" t="s">
        <v>246</v>
      </c>
    </row>
    <row r="136" spans="1:6" x14ac:dyDescent="0.25">
      <c r="A136" t="s">
        <v>293</v>
      </c>
      <c r="B136" t="s">
        <v>309</v>
      </c>
      <c r="C136" t="s">
        <v>214</v>
      </c>
      <c r="D136" t="s">
        <v>215</v>
      </c>
      <c r="E136" t="s">
        <v>216</v>
      </c>
      <c r="F136" t="s">
        <v>217</v>
      </c>
    </row>
  </sheetData>
  <pageMargins left="0.75" right="0.75" top="1" bottom="1" header="0.5" footer="0.5"/>
  <headerFooter>
    <oddFooter>&amp;L_x000D_&amp;1#&amp;"Aptos"&amp;10&amp;K000000 Confidential - All AMCE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/>
  </sheetViews>
  <sheetFormatPr defaultRowHeight="15" x14ac:dyDescent="0.25"/>
  <cols>
    <col min="1" max="1" width="28" customWidth="1"/>
    <col min="2" max="2" width="90" customWidth="1"/>
    <col min="3" max="3" width="55" customWidth="1"/>
  </cols>
  <sheetData>
    <row r="1" spans="1:3" x14ac:dyDescent="0.25">
      <c r="A1" s="4" t="s">
        <v>310</v>
      </c>
      <c r="B1" s="4" t="s">
        <v>311</v>
      </c>
      <c r="C1" s="4" t="s">
        <v>312</v>
      </c>
    </row>
    <row r="2" spans="1:3" x14ac:dyDescent="0.25">
      <c r="A2" t="s">
        <v>313</v>
      </c>
      <c r="B2" t="s">
        <v>314</v>
      </c>
      <c r="C2" t="s">
        <v>315</v>
      </c>
    </row>
    <row r="3" spans="1:3" x14ac:dyDescent="0.25">
      <c r="A3" t="s">
        <v>316</v>
      </c>
      <c r="B3" t="s">
        <v>317</v>
      </c>
      <c r="C3" t="s">
        <v>318</v>
      </c>
    </row>
    <row r="4" spans="1:3" x14ac:dyDescent="0.25">
      <c r="A4" t="s">
        <v>319</v>
      </c>
      <c r="B4" t="s">
        <v>320</v>
      </c>
      <c r="C4" t="s">
        <v>321</v>
      </c>
    </row>
    <row r="5" spans="1:3" x14ac:dyDescent="0.25">
      <c r="A5" t="s">
        <v>322</v>
      </c>
      <c r="B5" t="s">
        <v>323</v>
      </c>
      <c r="C5" t="s">
        <v>324</v>
      </c>
    </row>
    <row r="6" spans="1:3" x14ac:dyDescent="0.25">
      <c r="A6" t="s">
        <v>325</v>
      </c>
      <c r="B6" t="s">
        <v>326</v>
      </c>
      <c r="C6" t="s">
        <v>327</v>
      </c>
    </row>
    <row r="7" spans="1:3" x14ac:dyDescent="0.25">
      <c r="A7" t="s">
        <v>328</v>
      </c>
      <c r="B7" t="s">
        <v>329</v>
      </c>
      <c r="C7" t="s">
        <v>330</v>
      </c>
    </row>
    <row r="8" spans="1:3" x14ac:dyDescent="0.25">
      <c r="A8" t="s">
        <v>331</v>
      </c>
      <c r="B8" t="s">
        <v>332</v>
      </c>
      <c r="C8" t="s">
        <v>333</v>
      </c>
    </row>
    <row r="9" spans="1:3" x14ac:dyDescent="0.25">
      <c r="A9" t="s">
        <v>334</v>
      </c>
      <c r="B9" t="s">
        <v>335</v>
      </c>
      <c r="C9" t="s">
        <v>336</v>
      </c>
    </row>
    <row r="10" spans="1:3" x14ac:dyDescent="0.25">
      <c r="A10" t="s">
        <v>337</v>
      </c>
      <c r="B10" t="s">
        <v>338</v>
      </c>
      <c r="C10" t="s">
        <v>339</v>
      </c>
    </row>
    <row r="11" spans="1:3" x14ac:dyDescent="0.25">
      <c r="A11" t="s">
        <v>340</v>
      </c>
      <c r="B11" t="s">
        <v>341</v>
      </c>
      <c r="C11" t="s">
        <v>342</v>
      </c>
    </row>
  </sheetData>
  <pageMargins left="0.75" right="0.75" top="1" bottom="1" header="0.5" footer="0.5"/>
  <headerFooter>
    <oddFooter>&amp;L_x000D_&amp;1#&amp;"Aptos"&amp;10&amp;K000000 Confidential - All AMCE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README</vt:lpstr>
      <vt:lpstr>Evaluator Master</vt:lpstr>
      <vt:lpstr>Master Calendar</vt:lpstr>
      <vt:lpstr>Criteria Master</vt:lpstr>
      <vt:lpstr>Responses</vt:lpstr>
      <vt:lpstr>Form 1 Nursing</vt:lpstr>
      <vt:lpstr>Form 2 Oncology</vt:lpstr>
      <vt:lpstr>Form 3 Cardiology</vt:lpstr>
      <vt:lpstr>Form 4 Lab_Blood</vt:lpstr>
      <vt:lpstr>Form 5 Radiology</vt:lpstr>
      <vt:lpstr>Form 6 GenMed_Surg</vt:lpstr>
      <vt:lpstr>Form 7 ERP_Finance</vt:lpstr>
      <vt:lpstr>Forms Spec</vt:lpstr>
      <vt:lpstr>Automation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Sodiq Ambali</cp:lastModifiedBy>
  <dcterms:created xsi:type="dcterms:W3CDTF">2026-09-04T11:17:53Z</dcterms:created>
  <dcterms:modified xsi:type="dcterms:W3CDTF">2026-09-05T11:18:37Z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98408f-0291-4bb3-9c37-ea3b3c2fd47e_Enabled">
    <vt:lpwstr>true</vt:lpwstr>
  </property>
  <property fmtid="{D5CDD505-2E9C-101B-9397-08002B2CF9AE}" pid="3" name="MSIP_Label_5a98408f-0291-4bb3-9c37-ea3b3c2fd47e_SetDate">
    <vt:lpwstr>2026-09-05T11:18:37Z</vt:lpwstr>
  </property>
  <property fmtid="{D5CDD505-2E9C-101B-9397-08002B2CF9AE}" pid="4" name="MSIP_Label_5a98408f-0291-4bb3-9c37-ea3b3c2fd47e_Method">
    <vt:lpwstr>Standard</vt:lpwstr>
  </property>
  <property fmtid="{D5CDD505-2E9C-101B-9397-08002B2CF9AE}" pid="5" name="MSIP_Label_5a98408f-0291-4bb3-9c37-ea3b3c2fd47e_Name">
    <vt:lpwstr>All AMCE</vt:lpwstr>
  </property>
  <property fmtid="{D5CDD505-2E9C-101B-9397-08002B2CF9AE}" pid="6" name="MSIP_Label_5a98408f-0291-4bb3-9c37-ea3b3c2fd47e_SiteId">
    <vt:lpwstr>d71de517-5c50-4331-ab98-ebd8b4452845</vt:lpwstr>
  </property>
  <property fmtid="{D5CDD505-2E9C-101B-9397-08002B2CF9AE}" pid="7" name="MSIP_Label_5a98408f-0291-4bb3-9c37-ea3b3c2fd47e_ActionId">
    <vt:lpwstr>7b05e7bf-1522-4bf6-a97b-3d63b37f9a51</vt:lpwstr>
  </property>
  <property fmtid="{D5CDD505-2E9C-101B-9397-08002B2CF9AE}" pid="8" name="MSIP_Label_5a98408f-0291-4bb3-9c37-ea3b3c2fd47e_ContentBits">
    <vt:lpwstr>2</vt:lpwstr>
  </property>
  <property fmtid="{D5CDD505-2E9C-101B-9397-08002B2CF9AE}" pid="9" name="MSIP_Label_5a98408f-0291-4bb3-9c37-ea3b3c2fd47e_Tag">
    <vt:lpwstr>10, 3, 0, 1</vt:lpwstr>
  </property>
</Properties>
</file>